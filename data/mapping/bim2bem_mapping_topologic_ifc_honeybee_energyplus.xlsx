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angelo_massafra_unibo_it/Documents/Desktop/Scripts/digitmanpy/_paper/"/>
    </mc:Choice>
  </mc:AlternateContent>
  <xr:revisionPtr revIDLastSave="0" documentId="11_A9F7F8CED5A059CDF10CCB40A02E5D86E5F5049B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Ref_Assumptions" sheetId="2" r:id="rId2"/>
    <sheet name="T7_Zones" sheetId="3" r:id="rId3"/>
    <sheet name="T7_Grouped" sheetId="4" r:id="rId4"/>
    <sheet name="T8_Envelope" sheetId="5" r:id="rId5"/>
    <sheet name="T9_Glazing" sheetId="6" r:id="rId6"/>
    <sheet name="Map_Spaces" sheetId="7" r:id="rId7"/>
    <sheet name="Map_Envelope" sheetId="8" r:id="rId8"/>
    <sheet name="Map_Apertures" sheetId="9" r:id="rId9"/>
    <sheet name="Map_Model" sheetId="10" r:id="rId10"/>
    <sheet name="Val_SpaceTypes" sheetId="11" r:id="rId11"/>
    <sheet name="Val_Zones" sheetId="12" r:id="rId12"/>
    <sheet name="Val_Constructions" sheetId="13" r:id="rId13"/>
    <sheet name="Val_Layers" sheetId="14" r:id="rId14"/>
    <sheet name="Val_Glazing" sheetId="15" r:id="rId15"/>
    <sheet name="Val_Schedules" sheetId="16" r:id="rId16"/>
    <sheet name="Issues_Questions" sheetId="17" r:id="rId17"/>
  </sheets>
  <definedNames>
    <definedName name="_xlnm._FilterDatabase" localSheetId="16" hidden="1">Issues_Questions!$A$1:$I$21</definedName>
    <definedName name="_xlnm._FilterDatabase" localSheetId="8" hidden="1">Map_Apertures!$A$1:$Y$15</definedName>
    <definedName name="_xlnm._FilterDatabase" localSheetId="7" hidden="1">Map_Envelope!$A$1:$Y$18</definedName>
    <definedName name="_xlnm._FilterDatabase" localSheetId="9" hidden="1">Map_Model!$A$1:$Q$21</definedName>
    <definedName name="_xlnm._FilterDatabase" localSheetId="6" hidden="1">Map_Spaces!$A$1:$Y$35</definedName>
    <definedName name="_xlnm._FilterDatabase" localSheetId="0" hidden="1">README!$A$1:$B$25</definedName>
    <definedName name="_xlnm._FilterDatabase" localSheetId="1" hidden="1">Ref_Assumptions!$A$1:$E$10</definedName>
    <definedName name="_xlnm._FilterDatabase" localSheetId="3" hidden="1">T7_Grouped!$A$1:$T$26</definedName>
    <definedName name="_xlnm._FilterDatabase" localSheetId="2" hidden="1">T7_Zones!$A$1:$Z$86</definedName>
    <definedName name="_xlnm._FilterDatabase" localSheetId="4" hidden="1">T8_Envelope!$A$1:$P$19</definedName>
    <definedName name="_xlnm._FilterDatabase" localSheetId="5" hidden="1">T9_Glazing!$A$1:$S$5</definedName>
    <definedName name="_xlnm._FilterDatabase" localSheetId="12" hidden="1">Val_Constructions!$A$1:$Q$37</definedName>
    <definedName name="_xlnm._FilterDatabase" localSheetId="14" hidden="1">Val_Glazing!$A$1:$I$8</definedName>
    <definedName name="_xlnm._FilterDatabase" localSheetId="13" hidden="1">Val_Layers!$A$1:$N$220</definedName>
    <definedName name="_xlnm._FilterDatabase" localSheetId="15" hidden="1">Val_Schedules!$A$1:$K$76</definedName>
    <definedName name="_xlnm._FilterDatabase" localSheetId="10" hidden="1">Val_SpaceTypes!$A$1:$AE$24</definedName>
    <definedName name="_xlnm._FilterDatabase" localSheetId="11" hidden="1">Val_Zones!$A$1:$X$86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20" i="14" l="1"/>
  <c r="N219" i="14"/>
  <c r="N218" i="14"/>
  <c r="N217" i="14"/>
  <c r="N216" i="14"/>
  <c r="N215" i="14"/>
  <c r="N214" i="14"/>
  <c r="N213" i="14"/>
  <c r="N212" i="14"/>
  <c r="N211" i="14"/>
  <c r="N210" i="14"/>
  <c r="N209" i="14"/>
  <c r="N208" i="14"/>
  <c r="N207" i="14"/>
  <c r="N206" i="14"/>
  <c r="N205" i="14"/>
  <c r="N204" i="14"/>
  <c r="N203" i="14"/>
  <c r="N202" i="14"/>
  <c r="N201" i="14"/>
  <c r="N200" i="14"/>
  <c r="N199" i="14"/>
  <c r="N198" i="14"/>
  <c r="N197" i="14"/>
  <c r="N196" i="14"/>
  <c r="N195" i="14"/>
  <c r="N194" i="14"/>
  <c r="N193" i="14"/>
  <c r="N192" i="14"/>
  <c r="N191" i="14"/>
  <c r="N190" i="14"/>
  <c r="N189" i="14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176" i="14"/>
  <c r="N175" i="14"/>
  <c r="N174" i="14"/>
  <c r="N173" i="14"/>
  <c r="N172" i="14"/>
  <c r="N171" i="14"/>
  <c r="N170" i="14"/>
  <c r="N169" i="14"/>
  <c r="N168" i="14"/>
  <c r="N167" i="14"/>
  <c r="N166" i="14"/>
  <c r="N165" i="14"/>
  <c r="N164" i="14"/>
  <c r="N163" i="14"/>
  <c r="N162" i="14"/>
  <c r="N161" i="14"/>
  <c r="N160" i="14"/>
  <c r="N159" i="14"/>
  <c r="N158" i="14"/>
  <c r="N157" i="14"/>
  <c r="N156" i="14"/>
  <c r="N155" i="14"/>
  <c r="N154" i="14"/>
  <c r="N153" i="14"/>
  <c r="N152" i="14"/>
  <c r="N151" i="14"/>
  <c r="N150" i="14"/>
  <c r="N149" i="14"/>
  <c r="N148" i="14"/>
  <c r="N147" i="14"/>
  <c r="N146" i="14"/>
  <c r="N145" i="14"/>
  <c r="N144" i="14"/>
  <c r="N143" i="14"/>
  <c r="N142" i="14"/>
  <c r="N141" i="14"/>
  <c r="N140" i="14"/>
  <c r="N139" i="14"/>
  <c r="N138" i="14"/>
  <c r="N137" i="14"/>
  <c r="N136" i="14"/>
  <c r="N135" i="14"/>
  <c r="N134" i="14"/>
  <c r="N133" i="14"/>
  <c r="N132" i="14"/>
  <c r="N131" i="14"/>
  <c r="N130" i="14"/>
  <c r="N129" i="14"/>
  <c r="N128" i="14"/>
  <c r="N127" i="14"/>
  <c r="N126" i="14"/>
  <c r="N125" i="14"/>
  <c r="N124" i="14"/>
  <c r="N123" i="14"/>
  <c r="N122" i="14"/>
  <c r="N121" i="14"/>
  <c r="N120" i="14"/>
  <c r="N119" i="14"/>
  <c r="N118" i="14"/>
  <c r="N117" i="14"/>
  <c r="N116" i="14"/>
  <c r="N115" i="14"/>
  <c r="N114" i="14"/>
  <c r="N113" i="14"/>
  <c r="N112" i="14"/>
  <c r="N111" i="14"/>
  <c r="N110" i="14"/>
  <c r="N109" i="14"/>
  <c r="N108" i="14"/>
  <c r="N107" i="14"/>
  <c r="N106" i="14"/>
  <c r="N105" i="14"/>
  <c r="N104" i="14"/>
  <c r="N103" i="14"/>
  <c r="N102" i="14"/>
  <c r="N101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5" i="14"/>
  <c r="N54" i="14"/>
  <c r="N53" i="14"/>
  <c r="N52" i="14"/>
  <c r="N51" i="14"/>
  <c r="N50" i="14"/>
  <c r="N49" i="14"/>
  <c r="N48" i="14"/>
  <c r="N47" i="14"/>
  <c r="N46" i="14"/>
  <c r="N45" i="14"/>
  <c r="N44" i="14"/>
  <c r="N43" i="14"/>
  <c r="N42" i="14"/>
  <c r="N41" i="14"/>
  <c r="N40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8" i="14"/>
  <c r="N17" i="14"/>
  <c r="N16" i="14"/>
  <c r="N15" i="14"/>
  <c r="N14" i="14"/>
  <c r="N13" i="14"/>
  <c r="N12" i="14"/>
  <c r="N11" i="14"/>
  <c r="N10" i="14"/>
  <c r="N9" i="14"/>
  <c r="N8" i="14"/>
  <c r="N7" i="14"/>
  <c r="N6" i="14"/>
  <c r="N5" i="14"/>
  <c r="N4" i="14"/>
  <c r="N3" i="14"/>
  <c r="N2" i="14"/>
  <c r="J37" i="13"/>
  <c r="K37" i="13" s="1"/>
  <c r="G37" i="13"/>
  <c r="J36" i="13"/>
  <c r="K36" i="13" s="1"/>
  <c r="G36" i="13"/>
  <c r="J35" i="13"/>
  <c r="K35" i="13" s="1"/>
  <c r="G35" i="13"/>
  <c r="J34" i="13"/>
  <c r="K34" i="13" s="1"/>
  <c r="G34" i="13"/>
  <c r="J33" i="13"/>
  <c r="K33" i="13" s="1"/>
  <c r="G33" i="13"/>
  <c r="J32" i="13"/>
  <c r="K32" i="13" s="1"/>
  <c r="G32" i="13"/>
  <c r="J31" i="13"/>
  <c r="K31" i="13" s="1"/>
  <c r="G31" i="13"/>
  <c r="J30" i="13"/>
  <c r="K30" i="13" s="1"/>
  <c r="G30" i="13"/>
  <c r="J29" i="13"/>
  <c r="K29" i="13" s="1"/>
  <c r="G29" i="13"/>
  <c r="J28" i="13"/>
  <c r="K28" i="13" s="1"/>
  <c r="G28" i="13"/>
  <c r="J27" i="13"/>
  <c r="K27" i="13" s="1"/>
  <c r="G27" i="13"/>
  <c r="J26" i="13"/>
  <c r="K26" i="13" s="1"/>
  <c r="G26" i="13"/>
  <c r="J25" i="13"/>
  <c r="K25" i="13" s="1"/>
  <c r="G25" i="13"/>
  <c r="J24" i="13"/>
  <c r="K24" i="13" s="1"/>
  <c r="G24" i="13"/>
  <c r="J23" i="13"/>
  <c r="K23" i="13" s="1"/>
  <c r="G23" i="13"/>
  <c r="J22" i="13"/>
  <c r="K22" i="13" s="1"/>
  <c r="G22" i="13"/>
  <c r="J21" i="13"/>
  <c r="K21" i="13" s="1"/>
  <c r="G21" i="13"/>
  <c r="J20" i="13"/>
  <c r="K20" i="13" s="1"/>
  <c r="G20" i="13"/>
  <c r="J19" i="13"/>
  <c r="K19" i="13" s="1"/>
  <c r="G19" i="13"/>
  <c r="J18" i="13"/>
  <c r="K18" i="13" s="1"/>
  <c r="G18" i="13"/>
  <c r="J17" i="13"/>
  <c r="K17" i="13" s="1"/>
  <c r="G17" i="13"/>
  <c r="J16" i="13"/>
  <c r="K16" i="13" s="1"/>
  <c r="G16" i="13"/>
  <c r="G15" i="13"/>
  <c r="J14" i="13"/>
  <c r="K14" i="13" s="1"/>
  <c r="G14" i="13"/>
  <c r="J13" i="13"/>
  <c r="K13" i="13" s="1"/>
  <c r="G13" i="13"/>
  <c r="J12" i="13"/>
  <c r="K12" i="13" s="1"/>
  <c r="G12" i="13"/>
  <c r="J11" i="13"/>
  <c r="K11" i="13" s="1"/>
  <c r="G11" i="13"/>
  <c r="J10" i="13"/>
  <c r="K10" i="13" s="1"/>
  <c r="G10" i="13"/>
  <c r="J9" i="13"/>
  <c r="K9" i="13" s="1"/>
  <c r="G9" i="13"/>
  <c r="J8" i="13"/>
  <c r="K8" i="13" s="1"/>
  <c r="G8" i="13"/>
  <c r="J7" i="13"/>
  <c r="K7" i="13" s="1"/>
  <c r="G7" i="13"/>
  <c r="J6" i="13"/>
  <c r="K6" i="13" s="1"/>
  <c r="G6" i="13"/>
  <c r="J5" i="13"/>
  <c r="K5" i="13" s="1"/>
  <c r="G5" i="13"/>
  <c r="J4" i="13"/>
  <c r="K4" i="13" s="1"/>
  <c r="G4" i="13"/>
  <c r="J3" i="13"/>
  <c r="K3" i="13" s="1"/>
  <c r="G3" i="13"/>
  <c r="J2" i="13"/>
  <c r="K2" i="13" s="1"/>
  <c r="G2" i="13"/>
  <c r="M86" i="12"/>
  <c r="K86" i="12"/>
  <c r="M85" i="12"/>
  <c r="K85" i="12"/>
  <c r="M84" i="12"/>
  <c r="K84" i="12"/>
  <c r="M83" i="12"/>
  <c r="K83" i="12"/>
  <c r="M82" i="12"/>
  <c r="K82" i="12"/>
  <c r="M81" i="12"/>
  <c r="K81" i="12"/>
  <c r="M80" i="12"/>
  <c r="K80" i="12"/>
  <c r="M79" i="12"/>
  <c r="K79" i="12"/>
  <c r="M78" i="12"/>
  <c r="K78" i="12"/>
  <c r="M77" i="12"/>
  <c r="K77" i="12"/>
  <c r="M76" i="12"/>
  <c r="K76" i="12"/>
  <c r="M75" i="12"/>
  <c r="K75" i="12"/>
  <c r="M74" i="12"/>
  <c r="K74" i="12"/>
  <c r="M73" i="12"/>
  <c r="K73" i="12"/>
  <c r="M72" i="12"/>
  <c r="K72" i="12"/>
  <c r="M71" i="12"/>
  <c r="K71" i="12"/>
  <c r="M70" i="12"/>
  <c r="K70" i="12"/>
  <c r="M69" i="12"/>
  <c r="K69" i="12"/>
  <c r="M68" i="12"/>
  <c r="K68" i="12"/>
  <c r="M67" i="12"/>
  <c r="K67" i="12"/>
  <c r="M66" i="12"/>
  <c r="K66" i="12"/>
  <c r="M65" i="12"/>
  <c r="K65" i="12"/>
  <c r="M64" i="12"/>
  <c r="K64" i="12"/>
  <c r="M63" i="12"/>
  <c r="K63" i="12"/>
  <c r="M62" i="12"/>
  <c r="K62" i="12"/>
  <c r="M61" i="12"/>
  <c r="K61" i="12"/>
  <c r="M60" i="12"/>
  <c r="K60" i="12"/>
  <c r="M59" i="12"/>
  <c r="K59" i="12"/>
  <c r="M58" i="12"/>
  <c r="K58" i="12"/>
  <c r="M57" i="12"/>
  <c r="K57" i="12"/>
  <c r="M56" i="12"/>
  <c r="K56" i="12"/>
  <c r="M55" i="12"/>
  <c r="K55" i="12"/>
  <c r="M54" i="12"/>
  <c r="K54" i="12"/>
  <c r="M53" i="12"/>
  <c r="K53" i="12"/>
  <c r="M52" i="12"/>
  <c r="K52" i="12"/>
  <c r="M51" i="12"/>
  <c r="K51" i="12"/>
  <c r="M50" i="12"/>
  <c r="K50" i="12"/>
  <c r="M49" i="12"/>
  <c r="K49" i="12"/>
  <c r="M48" i="12"/>
  <c r="K48" i="12"/>
  <c r="M47" i="12"/>
  <c r="K47" i="12"/>
  <c r="M46" i="12"/>
  <c r="K46" i="12"/>
  <c r="M45" i="12"/>
  <c r="K45" i="12"/>
  <c r="M44" i="12"/>
  <c r="K44" i="12"/>
  <c r="M43" i="12"/>
  <c r="K43" i="12"/>
  <c r="M42" i="12"/>
  <c r="K42" i="12"/>
  <c r="M41" i="12"/>
  <c r="K41" i="12"/>
  <c r="M40" i="12"/>
  <c r="K40" i="12"/>
  <c r="M39" i="12"/>
  <c r="K39" i="12"/>
  <c r="M38" i="12"/>
  <c r="K38" i="12"/>
  <c r="M37" i="12"/>
  <c r="K37" i="12"/>
  <c r="M36" i="12"/>
  <c r="K36" i="12"/>
  <c r="M35" i="12"/>
  <c r="K35" i="12"/>
  <c r="M34" i="12"/>
  <c r="K34" i="12"/>
  <c r="M33" i="12"/>
  <c r="K33" i="12"/>
  <c r="M32" i="12"/>
  <c r="K32" i="12"/>
  <c r="M31" i="12"/>
  <c r="K31" i="12"/>
  <c r="M30" i="12"/>
  <c r="K30" i="12"/>
  <c r="M29" i="12"/>
  <c r="K29" i="12"/>
  <c r="M28" i="12"/>
  <c r="K28" i="12"/>
  <c r="M27" i="12"/>
  <c r="K27" i="12"/>
  <c r="M26" i="12"/>
  <c r="K26" i="12"/>
  <c r="M25" i="12"/>
  <c r="K25" i="12"/>
  <c r="M24" i="12"/>
  <c r="K24" i="12"/>
  <c r="M23" i="12"/>
  <c r="K23" i="12"/>
  <c r="M22" i="12"/>
  <c r="K22" i="12"/>
  <c r="M21" i="12"/>
  <c r="K21" i="12"/>
  <c r="M20" i="12"/>
  <c r="K20" i="12"/>
  <c r="M19" i="12"/>
  <c r="K19" i="12"/>
  <c r="M18" i="12"/>
  <c r="K18" i="12"/>
  <c r="M17" i="12"/>
  <c r="K17" i="12"/>
  <c r="M16" i="12"/>
  <c r="K16" i="12"/>
  <c r="M15" i="12"/>
  <c r="K15" i="12"/>
  <c r="M14" i="12"/>
  <c r="K14" i="12"/>
  <c r="M13" i="12"/>
  <c r="K13" i="12"/>
  <c r="M12" i="12"/>
  <c r="K12" i="12"/>
  <c r="M11" i="12"/>
  <c r="K11" i="12"/>
  <c r="M10" i="12"/>
  <c r="K10" i="12"/>
  <c r="M9" i="12"/>
  <c r="K9" i="12"/>
  <c r="M8" i="12"/>
  <c r="K8" i="12"/>
  <c r="M7" i="12"/>
  <c r="K7" i="12"/>
  <c r="M6" i="12"/>
  <c r="K6" i="12"/>
  <c r="M5" i="12"/>
  <c r="K5" i="12"/>
  <c r="M4" i="12"/>
  <c r="K4" i="12"/>
  <c r="M3" i="12"/>
  <c r="K3" i="12"/>
  <c r="M2" i="12"/>
  <c r="K2" i="12"/>
  <c r="I19" i="5"/>
  <c r="L19" i="5" s="1"/>
  <c r="H19" i="5"/>
  <c r="H18" i="5"/>
  <c r="I17" i="5"/>
  <c r="L17" i="5" s="1"/>
  <c r="H17" i="5"/>
  <c r="I16" i="5"/>
  <c r="L16" i="5" s="1"/>
  <c r="H16" i="5"/>
  <c r="I15" i="5"/>
  <c r="L15" i="5" s="1"/>
  <c r="H15" i="5"/>
  <c r="I14" i="5"/>
  <c r="L14" i="5" s="1"/>
  <c r="H14" i="5"/>
  <c r="I13" i="5"/>
  <c r="L13" i="5" s="1"/>
  <c r="H13" i="5"/>
  <c r="I12" i="5"/>
  <c r="L12" i="5" s="1"/>
  <c r="H12" i="5"/>
  <c r="I11" i="5"/>
  <c r="L11" i="5" s="1"/>
  <c r="H11" i="5"/>
  <c r="I10" i="5"/>
  <c r="L10" i="5" s="1"/>
  <c r="H10" i="5"/>
  <c r="I9" i="5"/>
  <c r="L9" i="5" s="1"/>
  <c r="H9" i="5"/>
  <c r="I8" i="5"/>
  <c r="L8" i="5" s="1"/>
  <c r="H8" i="5"/>
  <c r="I7" i="5"/>
  <c r="L7" i="5" s="1"/>
  <c r="H7" i="5"/>
  <c r="I6" i="5"/>
  <c r="L6" i="5" s="1"/>
  <c r="H6" i="5"/>
  <c r="I5" i="5"/>
  <c r="L5" i="5" s="1"/>
  <c r="H5" i="5"/>
  <c r="I4" i="5"/>
  <c r="L4" i="5" s="1"/>
  <c r="H4" i="5"/>
  <c r="I3" i="5"/>
  <c r="L3" i="5" s="1"/>
  <c r="H3" i="5"/>
  <c r="I2" i="5"/>
  <c r="L2" i="5" s="1"/>
  <c r="H2" i="5"/>
  <c r="T26" i="4"/>
  <c r="R26" i="4"/>
  <c r="Q26" i="4"/>
  <c r="N26" i="4"/>
  <c r="M26" i="4"/>
  <c r="E26" i="4"/>
  <c r="T25" i="4"/>
  <c r="R25" i="4"/>
  <c r="Q25" i="4"/>
  <c r="N25" i="4"/>
  <c r="M25" i="4"/>
  <c r="E25" i="4"/>
  <c r="T24" i="4"/>
  <c r="R24" i="4"/>
  <c r="Q24" i="4"/>
  <c r="N24" i="4"/>
  <c r="M24" i="4"/>
  <c r="E24" i="4"/>
  <c r="T23" i="4"/>
  <c r="R23" i="4"/>
  <c r="Q23" i="4"/>
  <c r="N23" i="4"/>
  <c r="M23" i="4"/>
  <c r="E23" i="4"/>
  <c r="T22" i="4"/>
  <c r="R22" i="4"/>
  <c r="Q22" i="4"/>
  <c r="N22" i="4"/>
  <c r="M22" i="4"/>
  <c r="E22" i="4"/>
  <c r="T21" i="4"/>
  <c r="R21" i="4"/>
  <c r="Q21" i="4"/>
  <c r="N21" i="4"/>
  <c r="M21" i="4"/>
  <c r="E21" i="4"/>
  <c r="T20" i="4"/>
  <c r="R20" i="4"/>
  <c r="Q20" i="4"/>
  <c r="N20" i="4"/>
  <c r="M20" i="4"/>
  <c r="E20" i="4"/>
  <c r="T19" i="4"/>
  <c r="R19" i="4"/>
  <c r="Q19" i="4"/>
  <c r="N19" i="4"/>
  <c r="M19" i="4"/>
  <c r="E19" i="4"/>
  <c r="T18" i="4"/>
  <c r="R18" i="4"/>
  <c r="Q18" i="4"/>
  <c r="N18" i="4"/>
  <c r="M18" i="4"/>
  <c r="E18" i="4"/>
  <c r="T17" i="4"/>
  <c r="R17" i="4"/>
  <c r="Q17" i="4"/>
  <c r="N17" i="4"/>
  <c r="M17" i="4"/>
  <c r="E17" i="4"/>
  <c r="T16" i="4"/>
  <c r="R16" i="4"/>
  <c r="Q16" i="4"/>
  <c r="N16" i="4"/>
  <c r="M16" i="4"/>
  <c r="E16" i="4"/>
  <c r="T15" i="4"/>
  <c r="R15" i="4"/>
  <c r="Q15" i="4"/>
  <c r="N15" i="4"/>
  <c r="M15" i="4"/>
  <c r="E15" i="4"/>
  <c r="T14" i="4"/>
  <c r="R14" i="4"/>
  <c r="Q14" i="4"/>
  <c r="N14" i="4"/>
  <c r="M14" i="4"/>
  <c r="E14" i="4"/>
  <c r="T13" i="4"/>
  <c r="R13" i="4"/>
  <c r="Q13" i="4"/>
  <c r="N13" i="4"/>
  <c r="M13" i="4"/>
  <c r="E13" i="4"/>
  <c r="T12" i="4"/>
  <c r="R12" i="4"/>
  <c r="Q12" i="4"/>
  <c r="N12" i="4"/>
  <c r="M12" i="4"/>
  <c r="E12" i="4"/>
  <c r="T11" i="4"/>
  <c r="R11" i="4"/>
  <c r="Q11" i="4"/>
  <c r="N11" i="4"/>
  <c r="M11" i="4"/>
  <c r="E11" i="4"/>
  <c r="T10" i="4"/>
  <c r="R10" i="4"/>
  <c r="Q10" i="4"/>
  <c r="N10" i="4"/>
  <c r="M10" i="4"/>
  <c r="E10" i="4"/>
  <c r="T9" i="4"/>
  <c r="R9" i="4"/>
  <c r="Q9" i="4"/>
  <c r="N9" i="4"/>
  <c r="M9" i="4"/>
  <c r="E9" i="4"/>
  <c r="T8" i="4"/>
  <c r="R8" i="4"/>
  <c r="Q8" i="4"/>
  <c r="N8" i="4"/>
  <c r="M8" i="4"/>
  <c r="E8" i="4"/>
  <c r="T7" i="4"/>
  <c r="R7" i="4"/>
  <c r="Q7" i="4"/>
  <c r="N7" i="4"/>
  <c r="M7" i="4"/>
  <c r="E7" i="4"/>
  <c r="T6" i="4"/>
  <c r="R6" i="4"/>
  <c r="Q6" i="4"/>
  <c r="N6" i="4"/>
  <c r="M6" i="4"/>
  <c r="E6" i="4"/>
  <c r="T5" i="4"/>
  <c r="R5" i="4"/>
  <c r="Q5" i="4"/>
  <c r="N5" i="4"/>
  <c r="M5" i="4"/>
  <c r="E5" i="4"/>
  <c r="T4" i="4"/>
  <c r="R4" i="4"/>
  <c r="Q4" i="4"/>
  <c r="N4" i="4"/>
  <c r="M4" i="4"/>
  <c r="E4" i="4"/>
  <c r="T3" i="4"/>
  <c r="R3" i="4"/>
  <c r="Q3" i="4"/>
  <c r="N3" i="4"/>
  <c r="M3" i="4"/>
  <c r="E3" i="4"/>
  <c r="T2" i="4"/>
  <c r="R2" i="4"/>
  <c r="Q2" i="4"/>
  <c r="N2" i="4"/>
  <c r="M2" i="4"/>
  <c r="E2" i="4"/>
  <c r="V86" i="3"/>
  <c r="T86" i="3"/>
  <c r="S86" i="3"/>
  <c r="N86" i="3"/>
  <c r="M86" i="3"/>
  <c r="L86" i="3"/>
  <c r="F86" i="3"/>
  <c r="U86" i="3" s="1"/>
  <c r="V85" i="3"/>
  <c r="T85" i="3"/>
  <c r="S85" i="3"/>
  <c r="N85" i="3"/>
  <c r="M85" i="3"/>
  <c r="L85" i="3"/>
  <c r="F85" i="3"/>
  <c r="U85" i="3" s="1"/>
  <c r="V84" i="3"/>
  <c r="T84" i="3"/>
  <c r="S84" i="3"/>
  <c r="N84" i="3"/>
  <c r="M84" i="3"/>
  <c r="L84" i="3"/>
  <c r="F84" i="3"/>
  <c r="U84" i="3" s="1"/>
  <c r="V83" i="3"/>
  <c r="T83" i="3"/>
  <c r="S83" i="3"/>
  <c r="N83" i="3"/>
  <c r="M83" i="3"/>
  <c r="L83" i="3"/>
  <c r="F83" i="3"/>
  <c r="U83" i="3" s="1"/>
  <c r="V82" i="3"/>
  <c r="T82" i="3"/>
  <c r="S82" i="3"/>
  <c r="N82" i="3"/>
  <c r="M82" i="3"/>
  <c r="L82" i="3"/>
  <c r="F82" i="3"/>
  <c r="U82" i="3" s="1"/>
  <c r="V81" i="3"/>
  <c r="T81" i="3"/>
  <c r="S81" i="3"/>
  <c r="N81" i="3"/>
  <c r="M81" i="3"/>
  <c r="L81" i="3"/>
  <c r="F81" i="3"/>
  <c r="U81" i="3" s="1"/>
  <c r="V80" i="3"/>
  <c r="T80" i="3"/>
  <c r="S80" i="3"/>
  <c r="N80" i="3"/>
  <c r="M80" i="3"/>
  <c r="L80" i="3"/>
  <c r="F80" i="3"/>
  <c r="V79" i="3"/>
  <c r="T79" i="3"/>
  <c r="S79" i="3"/>
  <c r="N79" i="3"/>
  <c r="M79" i="3"/>
  <c r="L79" i="3"/>
  <c r="F79" i="3"/>
  <c r="U79" i="3" s="1"/>
  <c r="V78" i="3"/>
  <c r="T78" i="3"/>
  <c r="S78" i="3"/>
  <c r="N78" i="3"/>
  <c r="M78" i="3"/>
  <c r="L78" i="3"/>
  <c r="F78" i="3"/>
  <c r="U78" i="3" s="1"/>
  <c r="V77" i="3"/>
  <c r="T77" i="3"/>
  <c r="S77" i="3"/>
  <c r="N77" i="3"/>
  <c r="M77" i="3"/>
  <c r="L77" i="3"/>
  <c r="F77" i="3"/>
  <c r="U77" i="3" s="1"/>
  <c r="V76" i="3"/>
  <c r="T76" i="3"/>
  <c r="S76" i="3"/>
  <c r="N76" i="3"/>
  <c r="M76" i="3"/>
  <c r="L76" i="3"/>
  <c r="F76" i="3"/>
  <c r="U76" i="3" s="1"/>
  <c r="V75" i="3"/>
  <c r="T75" i="3"/>
  <c r="S75" i="3"/>
  <c r="N75" i="3"/>
  <c r="M75" i="3"/>
  <c r="L75" i="3"/>
  <c r="F75" i="3"/>
  <c r="U75" i="3" s="1"/>
  <c r="V74" i="3"/>
  <c r="T74" i="3"/>
  <c r="S74" i="3"/>
  <c r="N74" i="3"/>
  <c r="M74" i="3"/>
  <c r="L74" i="3"/>
  <c r="F74" i="3"/>
  <c r="U74" i="3" s="1"/>
  <c r="V73" i="3"/>
  <c r="T73" i="3"/>
  <c r="S73" i="3"/>
  <c r="N73" i="3"/>
  <c r="M73" i="3"/>
  <c r="L73" i="3"/>
  <c r="F73" i="3"/>
  <c r="U73" i="3" s="1"/>
  <c r="V72" i="3"/>
  <c r="T72" i="3"/>
  <c r="S72" i="3"/>
  <c r="N72" i="3"/>
  <c r="M72" i="3"/>
  <c r="L72" i="3"/>
  <c r="F72" i="3"/>
  <c r="U72" i="3" s="1"/>
  <c r="V71" i="3"/>
  <c r="T71" i="3"/>
  <c r="S71" i="3"/>
  <c r="N71" i="3"/>
  <c r="M71" i="3"/>
  <c r="L71" i="3"/>
  <c r="F71" i="3"/>
  <c r="U71" i="3" s="1"/>
  <c r="V70" i="3"/>
  <c r="T70" i="3"/>
  <c r="S70" i="3"/>
  <c r="N70" i="3"/>
  <c r="M70" i="3"/>
  <c r="L70" i="3"/>
  <c r="F70" i="3"/>
  <c r="U70" i="3" s="1"/>
  <c r="V69" i="3"/>
  <c r="T69" i="3"/>
  <c r="S69" i="3"/>
  <c r="N69" i="3"/>
  <c r="M69" i="3"/>
  <c r="L69" i="3"/>
  <c r="F69" i="3"/>
  <c r="U69" i="3" s="1"/>
  <c r="V68" i="3"/>
  <c r="T68" i="3"/>
  <c r="S68" i="3"/>
  <c r="N68" i="3"/>
  <c r="M68" i="3"/>
  <c r="L68" i="3"/>
  <c r="F68" i="3"/>
  <c r="U68" i="3" s="1"/>
  <c r="V67" i="3"/>
  <c r="T67" i="3"/>
  <c r="S67" i="3"/>
  <c r="N67" i="3"/>
  <c r="M67" i="3"/>
  <c r="L67" i="3"/>
  <c r="F67" i="3"/>
  <c r="U67" i="3" s="1"/>
  <c r="V66" i="3"/>
  <c r="T66" i="3"/>
  <c r="S66" i="3"/>
  <c r="N66" i="3"/>
  <c r="M66" i="3"/>
  <c r="L66" i="3"/>
  <c r="F66" i="3"/>
  <c r="U66" i="3" s="1"/>
  <c r="V65" i="3"/>
  <c r="T65" i="3"/>
  <c r="S65" i="3"/>
  <c r="N65" i="3"/>
  <c r="M65" i="3"/>
  <c r="L65" i="3"/>
  <c r="F65" i="3"/>
  <c r="U65" i="3" s="1"/>
  <c r="V64" i="3"/>
  <c r="T64" i="3"/>
  <c r="S64" i="3"/>
  <c r="N64" i="3"/>
  <c r="M64" i="3"/>
  <c r="L64" i="3"/>
  <c r="F64" i="3"/>
  <c r="U64" i="3" s="1"/>
  <c r="V63" i="3"/>
  <c r="T63" i="3"/>
  <c r="S63" i="3"/>
  <c r="N63" i="3"/>
  <c r="M63" i="3"/>
  <c r="L63" i="3"/>
  <c r="F63" i="3"/>
  <c r="U63" i="3" s="1"/>
  <c r="V62" i="3"/>
  <c r="T62" i="3"/>
  <c r="S62" i="3"/>
  <c r="N62" i="3"/>
  <c r="M62" i="3"/>
  <c r="L62" i="3"/>
  <c r="F62" i="3"/>
  <c r="U62" i="3" s="1"/>
  <c r="V61" i="3"/>
  <c r="T61" i="3"/>
  <c r="S61" i="3"/>
  <c r="N61" i="3"/>
  <c r="M61" i="3"/>
  <c r="L61" i="3"/>
  <c r="F61" i="3"/>
  <c r="U61" i="3" s="1"/>
  <c r="V60" i="3"/>
  <c r="T60" i="3"/>
  <c r="S60" i="3"/>
  <c r="N60" i="3"/>
  <c r="M60" i="3"/>
  <c r="L60" i="3"/>
  <c r="F60" i="3"/>
  <c r="U60" i="3" s="1"/>
  <c r="V59" i="3"/>
  <c r="T59" i="3"/>
  <c r="S59" i="3"/>
  <c r="N59" i="3"/>
  <c r="M59" i="3"/>
  <c r="L59" i="3"/>
  <c r="F59" i="3"/>
  <c r="U59" i="3" s="1"/>
  <c r="V58" i="3"/>
  <c r="T58" i="3"/>
  <c r="S58" i="3"/>
  <c r="N58" i="3"/>
  <c r="M58" i="3"/>
  <c r="L58" i="3"/>
  <c r="F58" i="3"/>
  <c r="U58" i="3" s="1"/>
  <c r="V57" i="3"/>
  <c r="T57" i="3"/>
  <c r="S57" i="3"/>
  <c r="N57" i="3"/>
  <c r="M57" i="3"/>
  <c r="L57" i="3"/>
  <c r="F57" i="3"/>
  <c r="U57" i="3" s="1"/>
  <c r="V56" i="3"/>
  <c r="T56" i="3"/>
  <c r="S56" i="3"/>
  <c r="N56" i="3"/>
  <c r="M56" i="3"/>
  <c r="L56" i="3"/>
  <c r="F56" i="3"/>
  <c r="U56" i="3" s="1"/>
  <c r="V55" i="3"/>
  <c r="T55" i="3"/>
  <c r="S55" i="3"/>
  <c r="N55" i="3"/>
  <c r="M55" i="3"/>
  <c r="L55" i="3"/>
  <c r="F55" i="3"/>
  <c r="U55" i="3" s="1"/>
  <c r="V54" i="3"/>
  <c r="T54" i="3"/>
  <c r="S54" i="3"/>
  <c r="N54" i="3"/>
  <c r="M54" i="3"/>
  <c r="L54" i="3"/>
  <c r="F54" i="3"/>
  <c r="U54" i="3" s="1"/>
  <c r="V53" i="3"/>
  <c r="T53" i="3"/>
  <c r="S53" i="3"/>
  <c r="N53" i="3"/>
  <c r="M53" i="3"/>
  <c r="L53" i="3"/>
  <c r="F53" i="3"/>
  <c r="U53" i="3" s="1"/>
  <c r="V52" i="3"/>
  <c r="T52" i="3"/>
  <c r="S52" i="3"/>
  <c r="N52" i="3"/>
  <c r="M52" i="3"/>
  <c r="L52" i="3"/>
  <c r="F52" i="3"/>
  <c r="U52" i="3" s="1"/>
  <c r="V51" i="3"/>
  <c r="T51" i="3"/>
  <c r="S51" i="3"/>
  <c r="N51" i="3"/>
  <c r="M51" i="3"/>
  <c r="L51" i="3"/>
  <c r="F51" i="3"/>
  <c r="U51" i="3" s="1"/>
  <c r="V50" i="3"/>
  <c r="T50" i="3"/>
  <c r="S50" i="3"/>
  <c r="N50" i="3"/>
  <c r="M50" i="3"/>
  <c r="L50" i="3"/>
  <c r="F50" i="3"/>
  <c r="U50" i="3" s="1"/>
  <c r="V49" i="3"/>
  <c r="T49" i="3"/>
  <c r="S49" i="3"/>
  <c r="N49" i="3"/>
  <c r="M49" i="3"/>
  <c r="L49" i="3"/>
  <c r="F49" i="3"/>
  <c r="U49" i="3" s="1"/>
  <c r="V48" i="3"/>
  <c r="T48" i="3"/>
  <c r="S48" i="3"/>
  <c r="N48" i="3"/>
  <c r="M48" i="3"/>
  <c r="L48" i="3"/>
  <c r="F48" i="3"/>
  <c r="U48" i="3" s="1"/>
  <c r="V47" i="3"/>
  <c r="T47" i="3"/>
  <c r="S47" i="3"/>
  <c r="N47" i="3"/>
  <c r="M47" i="3"/>
  <c r="L47" i="3"/>
  <c r="F47" i="3"/>
  <c r="U47" i="3" s="1"/>
  <c r="V46" i="3"/>
  <c r="T46" i="3"/>
  <c r="S46" i="3"/>
  <c r="N46" i="3"/>
  <c r="M46" i="3"/>
  <c r="L46" i="3"/>
  <c r="F46" i="3"/>
  <c r="U46" i="3" s="1"/>
  <c r="V45" i="3"/>
  <c r="T45" i="3"/>
  <c r="S45" i="3"/>
  <c r="N45" i="3"/>
  <c r="M45" i="3"/>
  <c r="L45" i="3"/>
  <c r="F45" i="3"/>
  <c r="U45" i="3" s="1"/>
  <c r="V44" i="3"/>
  <c r="T44" i="3"/>
  <c r="S44" i="3"/>
  <c r="N44" i="3"/>
  <c r="M44" i="3"/>
  <c r="L44" i="3"/>
  <c r="F44" i="3"/>
  <c r="U44" i="3" s="1"/>
  <c r="V43" i="3"/>
  <c r="T43" i="3"/>
  <c r="S43" i="3"/>
  <c r="N43" i="3"/>
  <c r="M43" i="3"/>
  <c r="L43" i="3"/>
  <c r="F43" i="3"/>
  <c r="U43" i="3" s="1"/>
  <c r="V42" i="3"/>
  <c r="T42" i="3"/>
  <c r="S42" i="3"/>
  <c r="N42" i="3"/>
  <c r="M42" i="3"/>
  <c r="L42" i="3"/>
  <c r="F42" i="3"/>
  <c r="U42" i="3" s="1"/>
  <c r="V41" i="3"/>
  <c r="T41" i="3"/>
  <c r="S41" i="3"/>
  <c r="N41" i="3"/>
  <c r="M41" i="3"/>
  <c r="L41" i="3"/>
  <c r="F41" i="3"/>
  <c r="U41" i="3" s="1"/>
  <c r="V40" i="3"/>
  <c r="T40" i="3"/>
  <c r="S40" i="3"/>
  <c r="N40" i="3"/>
  <c r="M40" i="3"/>
  <c r="L40" i="3"/>
  <c r="F40" i="3"/>
  <c r="U40" i="3" s="1"/>
  <c r="V39" i="3"/>
  <c r="T39" i="3"/>
  <c r="S39" i="3"/>
  <c r="N39" i="3"/>
  <c r="M39" i="3"/>
  <c r="L39" i="3"/>
  <c r="F39" i="3"/>
  <c r="U39" i="3" s="1"/>
  <c r="V38" i="3"/>
  <c r="T38" i="3"/>
  <c r="S38" i="3"/>
  <c r="N38" i="3"/>
  <c r="M38" i="3"/>
  <c r="L38" i="3"/>
  <c r="F38" i="3"/>
  <c r="U38" i="3" s="1"/>
  <c r="V37" i="3"/>
  <c r="T37" i="3"/>
  <c r="S37" i="3"/>
  <c r="N37" i="3"/>
  <c r="M37" i="3"/>
  <c r="L37" i="3"/>
  <c r="F37" i="3"/>
  <c r="U37" i="3" s="1"/>
  <c r="V36" i="3"/>
  <c r="T36" i="3"/>
  <c r="S36" i="3"/>
  <c r="N36" i="3"/>
  <c r="M36" i="3"/>
  <c r="L36" i="3"/>
  <c r="F36" i="3"/>
  <c r="U36" i="3" s="1"/>
  <c r="V35" i="3"/>
  <c r="T35" i="3"/>
  <c r="S35" i="3"/>
  <c r="N35" i="3"/>
  <c r="M35" i="3"/>
  <c r="L35" i="3"/>
  <c r="F35" i="3"/>
  <c r="U35" i="3" s="1"/>
  <c r="V34" i="3"/>
  <c r="T34" i="3"/>
  <c r="S34" i="3"/>
  <c r="N34" i="3"/>
  <c r="M34" i="3"/>
  <c r="L34" i="3"/>
  <c r="F34" i="3"/>
  <c r="U34" i="3" s="1"/>
  <c r="V33" i="3"/>
  <c r="T33" i="3"/>
  <c r="S33" i="3"/>
  <c r="N33" i="3"/>
  <c r="M33" i="3"/>
  <c r="L33" i="3"/>
  <c r="F33" i="3"/>
  <c r="U33" i="3" s="1"/>
  <c r="V32" i="3"/>
  <c r="T32" i="3"/>
  <c r="S32" i="3"/>
  <c r="N32" i="3"/>
  <c r="M32" i="3"/>
  <c r="L32" i="3"/>
  <c r="F32" i="3"/>
  <c r="U32" i="3" s="1"/>
  <c r="V31" i="3"/>
  <c r="T31" i="3"/>
  <c r="S31" i="3"/>
  <c r="N31" i="3"/>
  <c r="M31" i="3"/>
  <c r="L31" i="3"/>
  <c r="F31" i="3"/>
  <c r="U31" i="3" s="1"/>
  <c r="V30" i="3"/>
  <c r="T30" i="3"/>
  <c r="S30" i="3"/>
  <c r="N30" i="3"/>
  <c r="M30" i="3"/>
  <c r="L30" i="3"/>
  <c r="F30" i="3"/>
  <c r="U30" i="3" s="1"/>
  <c r="V29" i="3"/>
  <c r="T29" i="3"/>
  <c r="S29" i="3"/>
  <c r="N29" i="3"/>
  <c r="M29" i="3"/>
  <c r="L29" i="3"/>
  <c r="F29" i="3"/>
  <c r="U29" i="3" s="1"/>
  <c r="V28" i="3"/>
  <c r="T28" i="3"/>
  <c r="S28" i="3"/>
  <c r="N28" i="3"/>
  <c r="M28" i="3"/>
  <c r="L28" i="3"/>
  <c r="F28" i="3"/>
  <c r="U28" i="3" s="1"/>
  <c r="V27" i="3"/>
  <c r="T27" i="3"/>
  <c r="S27" i="3"/>
  <c r="N27" i="3"/>
  <c r="M27" i="3"/>
  <c r="L27" i="3"/>
  <c r="F27" i="3"/>
  <c r="U27" i="3" s="1"/>
  <c r="V26" i="3"/>
  <c r="T26" i="3"/>
  <c r="S26" i="3"/>
  <c r="N26" i="3"/>
  <c r="M26" i="3"/>
  <c r="L26" i="3"/>
  <c r="F26" i="3"/>
  <c r="U26" i="3" s="1"/>
  <c r="V25" i="3"/>
  <c r="T25" i="3"/>
  <c r="S25" i="3"/>
  <c r="N25" i="3"/>
  <c r="M25" i="3"/>
  <c r="L25" i="3"/>
  <c r="F25" i="3"/>
  <c r="U25" i="3" s="1"/>
  <c r="V24" i="3"/>
  <c r="T24" i="3"/>
  <c r="S24" i="3"/>
  <c r="N24" i="3"/>
  <c r="M24" i="3"/>
  <c r="L24" i="3"/>
  <c r="F24" i="3"/>
  <c r="U24" i="3" s="1"/>
  <c r="V23" i="3"/>
  <c r="T23" i="3"/>
  <c r="S23" i="3"/>
  <c r="N23" i="3"/>
  <c r="M23" i="3"/>
  <c r="L23" i="3"/>
  <c r="F23" i="3"/>
  <c r="U23" i="3" s="1"/>
  <c r="V22" i="3"/>
  <c r="T22" i="3"/>
  <c r="S22" i="3"/>
  <c r="N22" i="3"/>
  <c r="M22" i="3"/>
  <c r="L22" i="3"/>
  <c r="F22" i="3"/>
  <c r="U22" i="3" s="1"/>
  <c r="V21" i="3"/>
  <c r="T21" i="3"/>
  <c r="S21" i="3"/>
  <c r="N21" i="3"/>
  <c r="M21" i="3"/>
  <c r="L21" i="3"/>
  <c r="F21" i="3"/>
  <c r="U21" i="3" s="1"/>
  <c r="V20" i="3"/>
  <c r="T20" i="3"/>
  <c r="S20" i="3"/>
  <c r="N20" i="3"/>
  <c r="M20" i="3"/>
  <c r="L20" i="3"/>
  <c r="F20" i="3"/>
  <c r="U20" i="3" s="1"/>
  <c r="V19" i="3"/>
  <c r="T19" i="3"/>
  <c r="S19" i="3"/>
  <c r="N19" i="3"/>
  <c r="M19" i="3"/>
  <c r="L19" i="3"/>
  <c r="F19" i="3"/>
  <c r="U19" i="3" s="1"/>
  <c r="V18" i="3"/>
  <c r="T18" i="3"/>
  <c r="S18" i="3"/>
  <c r="N18" i="3"/>
  <c r="M18" i="3"/>
  <c r="L18" i="3"/>
  <c r="F18" i="3"/>
  <c r="U18" i="3" s="1"/>
  <c r="V17" i="3"/>
  <c r="T17" i="3"/>
  <c r="S17" i="3"/>
  <c r="N17" i="3"/>
  <c r="M17" i="3"/>
  <c r="L17" i="3"/>
  <c r="F17" i="3"/>
  <c r="U17" i="3" s="1"/>
  <c r="V16" i="3"/>
  <c r="T16" i="3"/>
  <c r="S16" i="3"/>
  <c r="N16" i="3"/>
  <c r="M16" i="3"/>
  <c r="L16" i="3"/>
  <c r="F16" i="3"/>
  <c r="U16" i="3" s="1"/>
  <c r="V15" i="3"/>
  <c r="T15" i="3"/>
  <c r="S15" i="3"/>
  <c r="N15" i="3"/>
  <c r="M15" i="3"/>
  <c r="L15" i="3"/>
  <c r="F15" i="3"/>
  <c r="U15" i="3" s="1"/>
  <c r="V14" i="3"/>
  <c r="T14" i="3"/>
  <c r="S14" i="3"/>
  <c r="N14" i="3"/>
  <c r="M14" i="3"/>
  <c r="L14" i="3"/>
  <c r="F14" i="3"/>
  <c r="U14" i="3" s="1"/>
  <c r="V13" i="3"/>
  <c r="T13" i="3"/>
  <c r="S13" i="3"/>
  <c r="N13" i="3"/>
  <c r="M13" i="3"/>
  <c r="L13" i="3"/>
  <c r="F13" i="3"/>
  <c r="U13" i="3" s="1"/>
  <c r="V12" i="3"/>
  <c r="T12" i="3"/>
  <c r="S12" i="3"/>
  <c r="N12" i="3"/>
  <c r="M12" i="3"/>
  <c r="L12" i="3"/>
  <c r="F12" i="3"/>
  <c r="U12" i="3" s="1"/>
  <c r="V11" i="3"/>
  <c r="T11" i="3"/>
  <c r="S11" i="3"/>
  <c r="N11" i="3"/>
  <c r="M11" i="3"/>
  <c r="L11" i="3"/>
  <c r="F11" i="3"/>
  <c r="U11" i="3" s="1"/>
  <c r="V10" i="3"/>
  <c r="T10" i="3"/>
  <c r="S10" i="3"/>
  <c r="N10" i="3"/>
  <c r="M10" i="3"/>
  <c r="L10" i="3"/>
  <c r="F10" i="3"/>
  <c r="U10" i="3" s="1"/>
  <c r="V9" i="3"/>
  <c r="T9" i="3"/>
  <c r="S9" i="3"/>
  <c r="N9" i="3"/>
  <c r="M9" i="3"/>
  <c r="L9" i="3"/>
  <c r="F9" i="3"/>
  <c r="U9" i="3" s="1"/>
  <c r="V8" i="3"/>
  <c r="T8" i="3"/>
  <c r="S8" i="3"/>
  <c r="N8" i="3"/>
  <c r="M8" i="3"/>
  <c r="L8" i="3"/>
  <c r="F8" i="3"/>
  <c r="U8" i="3" s="1"/>
  <c r="V7" i="3"/>
  <c r="T7" i="3"/>
  <c r="S7" i="3"/>
  <c r="N7" i="3"/>
  <c r="M7" i="3"/>
  <c r="L7" i="3"/>
  <c r="F7" i="3"/>
  <c r="U7" i="3" s="1"/>
  <c r="V6" i="3"/>
  <c r="T6" i="3"/>
  <c r="S6" i="3"/>
  <c r="N6" i="3"/>
  <c r="M6" i="3"/>
  <c r="L6" i="3"/>
  <c r="F6" i="3"/>
  <c r="U6" i="3" s="1"/>
  <c r="V5" i="3"/>
  <c r="T5" i="3"/>
  <c r="S5" i="3"/>
  <c r="N5" i="3"/>
  <c r="M5" i="3"/>
  <c r="L5" i="3"/>
  <c r="F5" i="3"/>
  <c r="U5" i="3" s="1"/>
  <c r="V4" i="3"/>
  <c r="T4" i="3"/>
  <c r="S4" i="3"/>
  <c r="N4" i="3"/>
  <c r="M4" i="3"/>
  <c r="L4" i="3"/>
  <c r="F4" i="3"/>
  <c r="U4" i="3" s="1"/>
  <c r="V3" i="3"/>
  <c r="T3" i="3"/>
  <c r="S3" i="3"/>
  <c r="N3" i="3"/>
  <c r="M3" i="3"/>
  <c r="L3" i="3"/>
  <c r="F3" i="3"/>
  <c r="U3" i="3" s="1"/>
  <c r="V2" i="3"/>
  <c r="T2" i="3"/>
  <c r="S2" i="3"/>
  <c r="N2" i="3"/>
  <c r="M2" i="3"/>
  <c r="L2" i="3"/>
  <c r="F2" i="3"/>
  <c r="U80" i="3" l="1"/>
  <c r="C13" i="2" s="1"/>
  <c r="C15" i="2" s="1"/>
  <c r="J15" i="13"/>
  <c r="K15" i="13" s="1"/>
  <c r="I18" i="5"/>
  <c r="L18" i="5" s="1"/>
  <c r="F15" i="4"/>
  <c r="F8" i="4"/>
  <c r="F12" i="4"/>
  <c r="F14" i="4"/>
  <c r="U2" i="3"/>
  <c r="F22" i="4"/>
  <c r="F25" i="4"/>
  <c r="F24" i="4"/>
  <c r="F23" i="4"/>
  <c r="F17" i="4"/>
  <c r="F7" i="4"/>
  <c r="F2" i="4"/>
  <c r="F16" i="4"/>
  <c r="F26" i="4"/>
  <c r="F21" i="4"/>
  <c r="F20" i="4"/>
  <c r="F19" i="4"/>
  <c r="F18" i="4"/>
  <c r="F13" i="4"/>
  <c r="F11" i="4"/>
  <c r="F10" i="4"/>
  <c r="F9" i="4"/>
  <c r="F6" i="4"/>
  <c r="F5" i="4"/>
  <c r="F4" i="4"/>
  <c r="F3" i="4"/>
  <c r="S15" i="4" l="1"/>
  <c r="S25" i="4"/>
  <c r="S2" i="4"/>
  <c r="S7" i="4"/>
  <c r="S12" i="4"/>
  <c r="S16" i="4"/>
  <c r="S23" i="4"/>
  <c r="C12" i="2"/>
  <c r="C14" i="2" s="1"/>
  <c r="S8" i="4"/>
  <c r="S17" i="4"/>
  <c r="S22" i="4"/>
  <c r="S24" i="4"/>
  <c r="S14" i="4"/>
  <c r="S3" i="4"/>
  <c r="S4" i="4"/>
  <c r="S5" i="4"/>
  <c r="S6" i="4"/>
  <c r="S9" i="4"/>
  <c r="S10" i="4"/>
  <c r="S11" i="4"/>
  <c r="S13" i="4"/>
  <c r="S18" i="4"/>
  <c r="S19" i="4"/>
  <c r="S20" i="4"/>
  <c r="S21" i="4"/>
  <c r="S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Proposed Appendix Table 7, indexed by EnergyPlus zone (author decision). Loads, schedules, setpoints and humidity limits from DigitMan_Model_POLIMI-Edificio{09,10}_EnergyPlusIDF_Calibrated.idf. Ventilation and infiltration columns S, T, V are the EN 16798 / Methods reference values (Ref_Assumptions); columns W–X keep the repository IDF values for traceability.</t>
        </r>
      </text>
    </comment>
    <comment ref="C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Inferred from People density and HVAC availability in the IDF (0.6 → lecture hall, 0.3 → lab, 0.12 → office, 0.8 → snack bar).</t>
        </r>
      </text>
    </comment>
    <comment ref="D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Sum of the areas of the zone's Floor surfaces in the IDF geometry.</t>
        </r>
      </text>
    </comment>
    <comment ref="L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Setpoints cited in the paper (author decision), linked to Ref_Assumptions C8:C10; '–' for unconditioned zones. Calibrated-IDF values in columns Y–Z.</t>
        </r>
      </text>
    </comment>
    <comment ref="U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Formula: (occupants × OA per person + area × OA per area) × 3.6, ventilated zones only.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Condensed version of T7_Zones for the manuscript: zones with identical loads, schedules and ventilation status are grouped. Area, occupants and OA are SUMIFS over T7_Zones via the zone list key in column D.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Proposed Appendix Table 8: every construction assigned to a surface with Outdoors, Ground or Adiabatic boundary in the calibrated IDFs (constructions are identical in baseline and calibrated, and in both buildings).</t>
        </r>
      </text>
    </comment>
    <comment ref="C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'No' = interior partition that is exterior only because neighbouring cells were excluded from the BEM; suggested to mention in a footnote rather than list.</t>
        </r>
      </text>
    </comment>
    <comment ref="J1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Input (blue): ISO 6946 surface resistances by category; ground floor Rse = 0 (soil excluded).</t>
        </r>
      </text>
    </comment>
    <comment ref="M1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Gross area of the surfaces minus the windows they host; boundary Outdoors + Ground + Adiabatic.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Proposed Appendix Table 9 (calibrated IDFs; glazing unchanged by calibration). Only U, SHGC and VT enter E+; glass/frame properties are BIM data not used by the simple glazing model.</t>
        </r>
      </text>
    </comment>
    <comment ref="O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External aluminium blinds: slat 0.30 m, separation 0.50 m, angle 90°, solar reflectance 0.6, always on (see Map_Apertures A14).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A1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Values exactly as stored in the TBIM (Topologic JSON) cell dictionaries, grouped by occupancy type. 'Undefined' is replaced by the defaults in Map_Spaces column R. Schedule columns come from IfcSpace psets (Altro/Other); 'None' = property missing → default schedule. Multi-valued numbers are shown as 'min–max (n distinct)'.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G1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Baseline IDF = direct workflow output.</t>
        </r>
      </text>
    </comment>
    <comment ref="H1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Calibrated IDF (manual edit during calibration).</t>
        </r>
      </text>
    </comment>
    <comment ref="K1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Formula: m³/s × 1000.</t>
        </r>
      </text>
    </comment>
    <comment ref="M1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Formula: m³/s × 1000.</t>
        </r>
      </text>
    </comment>
    <comment ref="T1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Baseline: Schedule:Constant 20 °C. Calibrated: Schedule:Compact (see Map_Spaces S22).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E1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Number of IfcWall/IfcSlab instances whose type name matches this construction.</t>
        </r>
      </text>
    </comment>
    <comment ref="H1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Input (blue). Conventional ISO 6946 surface resistances by category; edit if needed. Ground floor: Rse = 0 (soil not included).</t>
        </r>
      </text>
    </comment>
    <comment ref="J1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Formula: SUMIFS of Val_Layers R = d/λ for this building + construction (as modelled in the IDF, air cavities treated as massive layers).</t>
        </r>
      </text>
    </comment>
    <comment ref="K1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Formula: 1 / (Rsi + R layers + Rse). Indicative steady-state U of the IDF construction; E+ uses its own dynamic film coefficients.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C1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'HB default' = Generic Double Pane (Low-e 6 mm / air 12.7 mm / clear 6 mm) kept when no BIM glazing data matched the aperture (B09: 23 curtain-wall panels whose TBIM VT 0.58 has no matching construction).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BIM2BEM mapping</author>
  </authors>
  <commentList>
    <comment ref="C1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Lecture-hall schedules A* belong to Building 10, B* to Building 09; both sets are written to both IDFs.</t>
        </r>
      </text>
    </comment>
    <comment ref="I1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Number of People / Lights / ElectricEquipment / IdealLoads availability fields that point to this schedule (baseline IDF).</t>
        </r>
      </text>
    </comment>
  </commentList>
</comments>
</file>

<file path=xl/sharedStrings.xml><?xml version="1.0" encoding="utf-8"?>
<sst xmlns="http://schemas.openxmlformats.org/spreadsheetml/2006/main" count="6880" uniqueCount="1717">
  <si>
    <t>Item</t>
  </si>
  <si>
    <t>Description</t>
  </si>
  <si>
    <t>Purpose</t>
  </si>
  <si>
    <t>Machine-readable correspondence tables between the TBIM (Topologic JSON), IFC, Honeybee (HB) and EnergyPlus (E+) used by the WP3 BIM-to-BEM workflow, plus the values actually present in each model. Intended to replace / extend Tables 7, 8 and 9 of the Appendix of 05_manuscript_revision_with_marked_changes.docx.</t>
  </si>
  <si>
    <t>Workflow analysed</t>
  </si>
  <si>
    <t>WP3/ewi3.1_bimtobem_building09.ipynb, WP3/ewi3.1_bimtobem_building10.ipynb, Python-00.00.03/Operation.py (classes Utils, HB, Eppy, TBIM). Calibration notebooks ewi3.2_* only re-run E+ on manually edited IDFs.</t>
  </si>
  <si>
    <t>Value sources</t>
  </si>
  <si>
    <t>TBIM: WP3/_models/*_Topologic.json (Cell / Face / Aperture dictionaries).  IFC: *_IFC_DesignTransferView.ifc (spaces, element types, glazing psets) and *_IFC_ReferenceView.ifc (material properties).  E+: *_EnergyPlusIDF.idf (baseline = direct output of the workflow) and *_EnergyPlusIDF_Calibrated.idf (after manual calibration).  Schedules: WP3/_schedules/*.json.</t>
  </si>
  <si>
    <t>Author decisions (2026-10-16)</t>
  </si>
  <si>
    <t>Report the CALIBRATED model and replace Appendix values with model values, EXCEPT ventilation/infiltration (EN 16798 values already in the paper) and temperature setpoints (values cited in the paper: 20 / 15 °C heating, 26 °C cooling), both kept in Ref_Assumptions. Table 8 = every outer-envelope construction; Table 7 indexed by EnergyPlus zone; Table 9 reports the 23 B09 curtain-wall panels with their BIM glazing (VT 0.58).</t>
  </si>
  <si>
    <t>Sheet: Ref_Assumptions</t>
  </si>
  <si>
    <t>Reference ventilation/infiltration inputs (yellow, editable) used by T7, plus AHU-capacity checks.</t>
  </si>
  <si>
    <t>Sheet: T7_Zones / T7_Grouped</t>
  </si>
  <si>
    <t>Proposed Appendix Table 7: one row per E+ zone (calibrated IDF) and a condensed version grouping identical zones (for the manuscript).</t>
  </si>
  <si>
    <t>Sheet: T8_Envelope</t>
  </si>
  <si>
    <t>Proposed Appendix Table 8: every outer-envelope construction with layers and computed U (live formulas).</t>
  </si>
  <si>
    <t>Sheet: T9_Glazing</t>
  </si>
  <si>
    <t>Proposed Appendix Table 9: glazing constructions with U/SHGC/VT, BIM glass/frame data and areas.</t>
  </si>
  <si>
    <t>Sheet: Map_Spaces</t>
  </si>
  <si>
    <t>Space / zone properties (Appendix Table 7). One row per property.</t>
  </si>
  <si>
    <t>Sheet: Map_Envelope</t>
  </si>
  <si>
    <t>Opaque constructions, materials, surfaces and boundary conditions (Appendix Table 8).</t>
  </si>
  <si>
    <t>Sheet: Map_Apertures</t>
  </si>
  <si>
    <t>Windows, doors, curtain walls, blinds (Appendix Table 9).</t>
  </si>
  <si>
    <t>Sheet: Map_Model</t>
  </si>
  <si>
    <t>Zoning, geometry, shading, infiltration, HVAC, schedules and simulation settings (not in the Appendix today; candidate Table 10).</t>
  </si>
  <si>
    <t>Sheet: Val_SpaceTypes</t>
  </si>
  <si>
    <t>Actual TBIM values per occupancy type and building (what Table 7 'Assigned value' should report).</t>
  </si>
  <si>
    <t>Sheet: Val_Zones</t>
  </si>
  <si>
    <t>Actual E+ values per thermal zone, baseline vs calibrated IDF.</t>
  </si>
  <si>
    <t>Sheet: Val_Constructions / Val_Layers</t>
  </si>
  <si>
    <t>Actual opaque constructions and their layers as written in the IDF; R and U are live formulas.</t>
  </si>
  <si>
    <t>Sheet: Val_Glazing</t>
  </si>
  <si>
    <t>Glazing constructions in the IDF and their IFC sources.</t>
  </si>
  <si>
    <t>Sheet: Val_Schedules</t>
  </si>
  <si>
    <t>Schedule rulesets (JSON) → Schedule:Compact objects and where they are used.</t>
  </si>
  <si>
    <t>Sheet: Issues_Questions</t>
  </si>
  <si>
    <t>Discrepancies between the manuscript and the code/models, with questions for the authors.</t>
  </si>
  <si>
    <t>Column 'In IDF?'</t>
  </si>
  <si>
    <t>Yes = value is written to an E+ field; Partial = written with a fixed/default value or only in some cases; No = read or stored but not used by the BEM.</t>
  </si>
  <si>
    <t>Naming</t>
  </si>
  <si>
    <t>Topologic keys keep the original spelling used in the models (e.g. 'Trasmittance', 'Heigth', 'Costant') so they can be used as join keys.</t>
  </si>
  <si>
    <t>IFC psets</t>
  </si>
  <si>
    <t>Custom TBIM properties are exported by Revit in a free-text pset named 'Altro' (Building 09, Italian UI) or 'Other' (Building 10).</t>
  </si>
  <si>
    <t>Units</t>
  </si>
  <si>
    <t>TBIM geometry is in cm; HB/E+ in m (÷100). Ventilation rates are divided by 1000 (L/s → m3/s). See column 'Conversion'.</t>
  </si>
  <si>
    <t>Colour code</t>
  </si>
  <si>
    <t>Blue text = editable input/assumption (e.g. surface resistances). Black = data or formula. Green fill / yellow / orange in 'In IDF?' = Yes / Partial / No. Issues are coloured by severity.</t>
  </si>
  <si>
    <t>Generated</t>
  </si>
  <si>
    <t>2026-10-16 from the files listed above (no values typed by hand except where a row says 'notebook constant' or 'HB default').</t>
  </si>
  <si>
    <t>Key</t>
  </si>
  <si>
    <t>Parameter</t>
  </si>
  <si>
    <t>Value</t>
  </si>
  <si>
    <t>Unit</t>
  </si>
  <si>
    <t>Source / note</t>
  </si>
  <si>
    <t>OA_per_person</t>
  </si>
  <si>
    <t>Outdoor air per person (occupied, ventilated zones)</t>
  </si>
  <si>
    <t>L/s·person</t>
  </si>
  <si>
    <t>Value reported in the paper (Methods, EN 16798-1 Cat. II); author decision 2026-10-16. Repository IDF: 7 L/s·p.</t>
  </si>
  <si>
    <t>OA_per_area</t>
  </si>
  <si>
    <t>Outdoor air per floor area (building emissions)</t>
  </si>
  <si>
    <t>L/s·m²</t>
  </si>
  <si>
    <t>Value reported in the paper (Methods); author decision 2026-10-16. Repository IDF: TBIM air-change rate written as L/s·m².</t>
  </si>
  <si>
    <t>OA_unoccupied</t>
  </si>
  <si>
    <t>Outdoor air when unoccupied / night</t>
  </si>
  <si>
    <t>L/s</t>
  </si>
  <si>
    <t>Methods: night-time/unoccupied lower limit = 0 (infiltration only).</t>
  </si>
  <si>
    <t>Infiltration_ACH</t>
  </si>
  <si>
    <t>Infiltration (envelope)</t>
  </si>
  <si>
    <t>h⁻¹</t>
  </si>
  <si>
    <t>Methods: 0.3 ACH. Repository IDF: 0.0001 m³/s per m² exterior surface ('TightBuilding').</t>
  </si>
  <si>
    <t>AHU_cap_B09</t>
  </si>
  <si>
    <t>AHU maximum airflow – Building 09</t>
  </si>
  <si>
    <t>m³/h</t>
  </si>
  <si>
    <t>Methods.</t>
  </si>
  <si>
    <t>AHU_cap_B10</t>
  </si>
  <si>
    <t>AHU maximum airflow – Building 10</t>
  </si>
  <si>
    <t>Heating_SP_occupied</t>
  </si>
  <si>
    <t>Heating setpoint – occupied</t>
  </si>
  <si>
    <t>°C</t>
  </si>
  <si>
    <t>Paper Table 7 (Space Temperature Winter Max, occupied heating setpoint); author decision 2026-10-16. Calibrated IDF: B09 18 °C, B10 22 °C.</t>
  </si>
  <si>
    <t>Heating_SP_setback</t>
  </si>
  <si>
    <t>Heating setpoint – night / weekend setback</t>
  </si>
  <si>
    <t>Paper Table 7 (Space Temperature Winter Min). Calibrated IDF: B09 15 °C, B10 18 °C.</t>
  </si>
  <si>
    <t>Cooling_SP_occupied</t>
  </si>
  <si>
    <t>Cooling setpoint – occupied</t>
  </si>
  <si>
    <t>Paper Table 7 (Space Temperature Summer Max). Calibrated IDF: B09 20 °C, B10 22 °C.</t>
  </si>
  <si>
    <t>Check</t>
  </si>
  <si>
    <t>Sum of design outdoor airflow – B09</t>
  </si>
  <si>
    <t>Compare with AHU_cap_B09 (C6).</t>
  </si>
  <si>
    <t>Sum of design outdoor airflow – B10</t>
  </si>
  <si>
    <t>Compare with AHU_cap_B10 (C7).</t>
  </si>
  <si>
    <t>Design airflow / AHU capacity – B09</t>
  </si>
  <si>
    <t>–</t>
  </si>
  <si>
    <t>&gt; 1 means the AHU cap limits the outdoor air.</t>
  </si>
  <si>
    <t>Design airflow / AHU capacity – B10</t>
  </si>
  <si>
    <t>Building</t>
  </si>
  <si>
    <t>E+ zone</t>
  </si>
  <si>
    <t>Zone use (inferred from E+ loads)</t>
  </si>
  <si>
    <t>Floor area (m²)</t>
  </si>
  <si>
    <t>Occupancy density (person/m²)</t>
  </si>
  <si>
    <t>Design occupants (persons)</t>
  </si>
  <si>
    <t>Occupancy schedule</t>
  </si>
  <si>
    <t>Lighting power density (W/m²)</t>
  </si>
  <si>
    <t>Lighting schedule</t>
  </si>
  <si>
    <t>Equipment power density (W/m²)</t>
  </si>
  <si>
    <t>Equipment schedule</t>
  </si>
  <si>
    <t>Heating setpoint occupied (°C) – paper</t>
  </si>
  <si>
    <t>Heating setback (°C) – paper</t>
  </si>
  <si>
    <t>Cooling setpoint occupied (°C) – paper</t>
  </si>
  <si>
    <t>RH max – dehumidification (%)</t>
  </si>
  <si>
    <t>RH min – humidification (%)</t>
  </si>
  <si>
    <t>HVAC availability (heating / cooling / ventilation)</t>
  </si>
  <si>
    <t>Mechanically ventilated</t>
  </si>
  <si>
    <t>OA per person (L/s·p) – reported</t>
  </si>
  <si>
    <t>OA per area (L/s·m²) – reported</t>
  </si>
  <si>
    <t>Design outdoor airflow (m³/h)</t>
  </si>
  <si>
    <t>Infiltration (h⁻¹) – reported</t>
  </si>
  <si>
    <t>OA per person in repository IDF (L/s·p)</t>
  </si>
  <si>
    <t>TBIM air-change rate written to IDF (h⁻¹)</t>
  </si>
  <si>
    <t>Heating SP in calibrated IDF (occupied / otherwise, °C)</t>
  </si>
  <si>
    <t>Cooling SP in calibrated IDF (°C)</t>
  </si>
  <si>
    <t>B09</t>
  </si>
  <si>
    <t>debugZone0</t>
  </si>
  <si>
    <t>Unconditioned (stairs, shafts, storage, parking) – cell not clustered</t>
  </si>
  <si>
    <t>OccSch_Unoccupied</t>
  </si>
  <si>
    <t>LghSch_Costant</t>
  </si>
  <si>
    <t>EqpSch_Costant</t>
  </si>
  <si>
    <t>Off (AlwaysOff)</t>
  </si>
  <si>
    <t>No</t>
  </si>
  <si>
    <t>18 / 15</t>
  </si>
  <si>
    <t>debugZone1</t>
  </si>
  <si>
    <t>debugZone10</t>
  </si>
  <si>
    <t>Research laboratory – cell not clustered</t>
  </si>
  <si>
    <t>Always on (calibrated AHU schedules = 1)</t>
  </si>
  <si>
    <t>Yes</t>
  </si>
  <si>
    <t>debugZone11</t>
  </si>
  <si>
    <t>Conditioned service / circulation – cell not clustered</t>
  </si>
  <si>
    <t>debugZone2</t>
  </si>
  <si>
    <t>debugZone3</t>
  </si>
  <si>
    <t>debugZone4</t>
  </si>
  <si>
    <t>debugZone5</t>
  </si>
  <si>
    <t>debugZone6</t>
  </si>
  <si>
    <t>debugZone7</t>
  </si>
  <si>
    <t>debugZone8</t>
  </si>
  <si>
    <t>debugZone9</t>
  </si>
  <si>
    <t>zone00</t>
  </si>
  <si>
    <t>Unconditioned (stairs, shafts, storage, parking)</t>
  </si>
  <si>
    <t>LghSch_Unoccupied</t>
  </si>
  <si>
    <t>EqpSch_Unoccupied</t>
  </si>
  <si>
    <t>zone01</t>
  </si>
  <si>
    <t>zone02</t>
  </si>
  <si>
    <t>Conditioned service / circulation</t>
  </si>
  <si>
    <t>zone03</t>
  </si>
  <si>
    <t>AlwaysOff</t>
  </si>
  <si>
    <t>zone04</t>
  </si>
  <si>
    <t>zone05</t>
  </si>
  <si>
    <t>zone06</t>
  </si>
  <si>
    <t>zone07</t>
  </si>
  <si>
    <t>zone08</t>
  </si>
  <si>
    <t>zone09</t>
  </si>
  <si>
    <t>Lecture hall / study room</t>
  </si>
  <si>
    <t>zone10</t>
  </si>
  <si>
    <t>zone11</t>
  </si>
  <si>
    <t>Office</t>
  </si>
  <si>
    <t>zone12-0</t>
  </si>
  <si>
    <t>zone12-1</t>
  </si>
  <si>
    <t>zone12-2</t>
  </si>
  <si>
    <t>zone13</t>
  </si>
  <si>
    <t>zone14</t>
  </si>
  <si>
    <t>zone15</t>
  </si>
  <si>
    <t>OccSch_B0.1</t>
  </si>
  <si>
    <t>zone16</t>
  </si>
  <si>
    <t>Research laboratory</t>
  </si>
  <si>
    <t>zone17</t>
  </si>
  <si>
    <t>zone18</t>
  </si>
  <si>
    <t>zone19</t>
  </si>
  <si>
    <t>zone20</t>
  </si>
  <si>
    <t>zone21</t>
  </si>
  <si>
    <t>OccSch_B2.3</t>
  </si>
  <si>
    <t>zone22</t>
  </si>
  <si>
    <t>OccSch_B2.4</t>
  </si>
  <si>
    <t>zone23</t>
  </si>
  <si>
    <t>OccSch_B2.6</t>
  </si>
  <si>
    <t>zone24</t>
  </si>
  <si>
    <t>OccSch_B2.5</t>
  </si>
  <si>
    <t>zone25</t>
  </si>
  <si>
    <t>OccSch_B2.2</t>
  </si>
  <si>
    <t>zone26</t>
  </si>
  <si>
    <t>zone27</t>
  </si>
  <si>
    <t>OccSch_B0.7</t>
  </si>
  <si>
    <t>zone28</t>
  </si>
  <si>
    <t>OccSch_B0.6</t>
  </si>
  <si>
    <t>zone29</t>
  </si>
  <si>
    <t>zone30</t>
  </si>
  <si>
    <t>zone31</t>
  </si>
  <si>
    <t>OccSch_B0.5</t>
  </si>
  <si>
    <t>zone32</t>
  </si>
  <si>
    <t>OccSch_B1.3</t>
  </si>
  <si>
    <t>zone33</t>
  </si>
  <si>
    <t>OccSch_B0.4</t>
  </si>
  <si>
    <t>zone34</t>
  </si>
  <si>
    <t>OccSch_B0.3</t>
  </si>
  <si>
    <t>zone35</t>
  </si>
  <si>
    <t>OccSch_B0.2</t>
  </si>
  <si>
    <t>zone36</t>
  </si>
  <si>
    <t>zone37</t>
  </si>
  <si>
    <t>zone38</t>
  </si>
  <si>
    <t>zone39</t>
  </si>
  <si>
    <t>zone40</t>
  </si>
  <si>
    <t>zone41</t>
  </si>
  <si>
    <t>zone42</t>
  </si>
  <si>
    <t>zone43</t>
  </si>
  <si>
    <t>zone44</t>
  </si>
  <si>
    <t>zone45</t>
  </si>
  <si>
    <t>OccSch_B1.5</t>
  </si>
  <si>
    <t>zone46</t>
  </si>
  <si>
    <t>OccSch_B1.4</t>
  </si>
  <si>
    <t>zone47</t>
  </si>
  <si>
    <t>OccSch_B1.2</t>
  </si>
  <si>
    <t>zone48</t>
  </si>
  <si>
    <t>OccSch_B1.1</t>
  </si>
  <si>
    <t>zone49</t>
  </si>
  <si>
    <t>zone50</t>
  </si>
  <si>
    <t>B10</t>
  </si>
  <si>
    <t>22 / 18</t>
  </si>
  <si>
    <t>OccSch_A0.1/A0.2</t>
  </si>
  <si>
    <t>zone12</t>
  </si>
  <si>
    <t>Snack bar</t>
  </si>
  <si>
    <t>OccSch_A1.2</t>
  </si>
  <si>
    <t>LghSch_A1.2</t>
  </si>
  <si>
    <t>EqpSch_A1.2</t>
  </si>
  <si>
    <t>OccSch_A1.1</t>
  </si>
  <si>
    <t>LghSch_A1.1</t>
  </si>
  <si>
    <t>EqpSch_A1.1</t>
  </si>
  <si>
    <t>OccSch_A1.3</t>
  </si>
  <si>
    <t>LghSch_A1.3</t>
  </si>
  <si>
    <t>EqpSch_A1.3</t>
  </si>
  <si>
    <t>LghSch_A0.1/A0.2</t>
  </si>
  <si>
    <t>EqpSch_A0.1/A0.2</t>
  </si>
  <si>
    <t>Zone use</t>
  </si>
  <si>
    <t>N zones</t>
  </si>
  <si>
    <t>E+ zones</t>
  </si>
  <si>
    <t>Design occupants</t>
  </si>
  <si>
    <t>LPD (W/m²)</t>
  </si>
  <si>
    <t>EPD (W/m²)</t>
  </si>
  <si>
    <t>Heating SP occupied / setback (°C)</t>
  </si>
  <si>
    <t>Cooling SP (°C)</t>
  </si>
  <si>
    <t>RH max / min (%)</t>
  </si>
  <si>
    <t>Mech. ventilated</t>
  </si>
  <si>
    <t>OA per person (L/s·p)</t>
  </si>
  <si>
    <t>OA per area (L/s·m²)</t>
  </si>
  <si>
    <t>Design OA (m³/h)</t>
  </si>
  <si>
    <t>Infiltration (h⁻¹)</t>
  </si>
  <si>
    <t>debugZone0, debugZone1, debugZone2, debugZone3</t>
  </si>
  <si>
    <t>70 / 40</t>
  </si>
  <si>
    <t>debugZone10, debugZone4, debugZone5, debugZone6, debugZone7, debugZone8, debugZone9</t>
  </si>
  <si>
    <t>100 / 0</t>
  </si>
  <si>
    <t>zone02, zone05, zone12-0, zone12-2, zone29</t>
  </si>
  <si>
    <t>zone03, zone04, zone10, zone12-1, zone13, zone14</t>
  </si>
  <si>
    <t>zone09, zone30</t>
  </si>
  <si>
    <t>zone15, zone21, zone22, zone23, zone24, zone25, zone26, zone27, zone28, zone31, zone32, zone33, zone34, zone35, zone45, zone46, zone47, zone48</t>
  </si>
  <si>
    <t>OccSch_&lt;room&gt; (lecture timetable)</t>
  </si>
  <si>
    <t>zone16, zone17, zone18, zone19, zone20, zone36, zone37, zone38, zone39, zone40, zone41, zone42, zone43, zone44, zone49, zone50</t>
  </si>
  <si>
    <t>zone00, zone17</t>
  </si>
  <si>
    <t>zone01, zone03</t>
  </si>
  <si>
    <t>zone02, zone07, zone10, zone11</t>
  </si>
  <si>
    <t>zone08, zone13</t>
  </si>
  <si>
    <t>zone15, zone16, zone18, zone19</t>
  </si>
  <si>
    <t>LghSch_&lt;room&gt; (lecture timetable)</t>
  </si>
  <si>
    <t>EqpSch_&lt;room&gt; (lecture timetable)</t>
  </si>
  <si>
    <t>Construction</t>
  </si>
  <si>
    <t>Envelope role</t>
  </si>
  <si>
    <t>Include in paper</t>
  </si>
  <si>
    <t>Source</t>
  </si>
  <si>
    <t>N layers</t>
  </si>
  <si>
    <t>Layers outside → inside: material, thickness (λ W/m·K; ρ kg/m³; c J/kg·K)</t>
  </si>
  <si>
    <t>Layer data from</t>
  </si>
  <si>
    <t>Total thickness (m)</t>
  </si>
  <si>
    <t>R layers (m²K/W)</t>
  </si>
  <si>
    <t>Rsi (m²K/W)</t>
  </si>
  <si>
    <t>Rse (m²K/W)</t>
  </si>
  <si>
    <t>U (W/m²K)</t>
  </si>
  <si>
    <t>B09 net opaque area (m²)</t>
  </si>
  <si>
    <t>B09 N surfaces</t>
  </si>
  <si>
    <t>B10 net opaque area (m²)</t>
  </si>
  <si>
    <t>B10 N surfaces</t>
  </si>
  <si>
    <t>WL_POLIMI-LC_EW01</t>
  </si>
  <si>
    <t>External wall</t>
  </si>
  <si>
    <t>IFC IfcMaterialLayerSet</t>
  </si>
  <si>
    <t>Pannello in alluminio 0.5 cm (λ 220; ρ 2700; c 896) | Camera d'aria fortemente ventilata 3.5 cm (λ 0.285; ρ 1; c 1004) | Isolante rigido 6 cm (λ 0.04; ρ 30; c 1452) | Membrana impermeabilizzante 0.5 cm (λ 0.23; ρ 1100; c 1000) | Camera d'aria debolmente ventilata 20 cm (λ 1; ρ 1; c 1004) | Isolante morbido 6.5 cm (λ 0.04; ρ 80; c 1028) | Gypsum Board 2.5 cm (λ 0.21; ρ 900; c 1000) | Intonaco interno 1 cm (λ 0.35; ρ 1200; c 999)</t>
  </si>
  <si>
    <t>WL_POLIMI-LC_EW02</t>
  </si>
  <si>
    <t>IFC IfcMaterialLayerSet; also fallback for unmatched exterior faces</t>
  </si>
  <si>
    <t>Pannello in alluminio 0.5 cm (λ 220; ρ 2700; c 896) | Camera d'aria fortemente ventilata 3.5 cm (λ 0.285; ρ 1; c 1004) | Isolante rigido 10 cm (λ 0.04; ρ 30; c 1452) | Membrana impermeabilizzante 0.5 cm (λ 0.23; ρ 1100; c 1000) | Camera d'aria debolmente ventilata 26 cm (λ 1; ρ 1; c 1004) | Isolante morbido 6.5 cm (λ 0.04; ρ 80; c 1028) | Gypsum Board 2.5 cm (λ 0.21; ρ 900; c 1000) | Intonaco interno 1 cm (λ 0.35; ρ 1200; c 999)</t>
  </si>
  <si>
    <t>WL_POLIMI-LC_EW03</t>
  </si>
  <si>
    <t>Pannello in alluminio 0.5 cm (λ 220; ρ 2700; c 896) | Camera d'aria fortemente ventilata 3.5 cm (λ 0.285; ρ 1; c 1004) | Isolante rigido 10 cm (λ 0.04; ρ 30; c 1452) | Membrana impermeabilizzante 0.5 cm (λ 0.23; ρ 1100; c 1000) | Camera d'aria debolmente ventilata 26.5 cm (λ 1; ρ 1; c 1004) | CLS 42.5 cm (λ 1.046; ρ 2300; c 657) | Isolante morbido 6.5 cm (λ 0.04; ρ 80; c 1028) | Gypsum Board 2.5 cm (λ 0.21; ρ 900; c 1000) | Intonaco interno 1 cm (λ 0.35; ρ 1200; c 999)</t>
  </si>
  <si>
    <t>WL_POLIMI-LC_EW04</t>
  </si>
  <si>
    <t>Pannello in alluminio 0.5 cm (λ 220; ρ 2700; c 896) | Camera d'aria fortemente ventilata 3.5 cm (λ 0.285; ρ 1; c 1004) | Isolante rigido 10 cm (λ 0.04; ρ 30; c 1452) | Membrana impermeabilizzante 0.5 cm (λ 0.23; ρ 1100; c 1000) | Camera d'aria debolmente ventilata 26.5 cm (λ 1; ρ 1; c 1004) | CLS 42.5 cm (λ 1.046; ρ 2300; c 657) | Intonaco interno 1 cm (λ 0.35; ρ 1200; c 999)</t>
  </si>
  <si>
    <t>WL_POLIMI-LC_EW05</t>
  </si>
  <si>
    <t>Pannello in alluminio 0.5 cm (λ 220; ρ 2700; c 896) | Camera d'aria fortemente ventilata 3.5 cm (λ 0.285; ρ 1; c 1004) | Isolante rigido 10 cm (λ 0.04; ρ 30; c 1452) | Membrana impermeabilizzante 0.5 cm (λ 0.23; ρ 1100; c 1000) | Camera d'aria debolmente ventilata 26.5 cm (λ 1; ρ 1; c 1004) | Camera d'aria fortemente ventilata 42.5 cm (λ 0.285; ρ 1; c 1004) | Isolante morbido 6.5 cm (λ 0.04; ρ 80; c 1028) | Gypsum Board 2.5 cm (λ 0.21; ρ 900; c 1000) | Intonaco interno 1 cm (λ 0.35; ρ 1200; c 999)</t>
  </si>
  <si>
    <t>WL_POLIMI-LC_FC300</t>
  </si>
  <si>
    <t>Intonaco interno 1.5 cm (λ 0.35; ρ 1200; c 999) | Calcestruzzo- gettato in opera 26 cm (λ 1.046; ρ 2300; c 657) | Intonaco interno 1.5 cm (λ 0.35; ρ 1200; c 999)</t>
  </si>
  <si>
    <t>WL_POLIMI-LC_FC300-2</t>
  </si>
  <si>
    <t>Intonaco interno 1.5 cm (λ 0.35; ρ 1200; c 999) | Calcestruzzo- gettato in opera 26 cm (λ 1.046; ρ 2300; c 657) | Isolante morbido 6.5 cm (λ 0.04; ρ 80; c 1028) | Gypsum Board 2.5 cm (λ 0.21; ρ 900; c 1000) | Intonaco interno 1 cm (λ 0.35; ρ 1200; c 999)</t>
  </si>
  <si>
    <t>WL_POLIMI-LC_FC300-3</t>
  </si>
  <si>
    <t>Intonaco interno 1.5 cm (λ 0.35; ρ 1200; c 999) | Gypsum Board 2.5 cm (λ 0.21; ρ 900; c 1000) | Isolante morbido 10 cm (λ 0.04; ρ 80; c 1028) | Camera d'aria debolmente ventilata 15 cm (λ 1; ρ 1; c 1004) | Calcestruzzo- gettato in opera 26 cm (λ 1.046; ρ 2300; c 657) | Isolante morbido 6.5 cm (λ 0.04; ρ 80; c 1028) | Gypsum Board 2.5 cm (λ 0.21; ρ 900; c 1000) | Intonaco interno 1 cm (λ 0.35; ρ 1200; c 999)</t>
  </si>
  <si>
    <t>RF_POLIMI-LC_IH-E</t>
  </si>
  <si>
    <t>Roof</t>
  </si>
  <si>
    <t>Notebook (manual layers)</t>
  </si>
  <si>
    <t>Ghiaia 8 cm (λ 1.2; ρ 1700; c 1000) | Massetto 12 cm (λ 1.2; ρ 1700; c 1000) | Isolante rigido 8 cm (λ 0.04; ρ 30; c 1452) | CLS 25 cm (λ 1.046; ρ 2300; c 657)</t>
  </si>
  <si>
    <t>FL_POLIMI-LC_GroundFloor</t>
  </si>
  <si>
    <t>Ground floor</t>
  </si>
  <si>
    <t>Pavimento industriale 6 cm (λ 1.046; ρ 2300; c 657) | Massetto 8 cm (λ 1.2; ρ 1700; c 1000) | Isolante rigido 6 cm (λ 0.04; ρ 30; c 1452) | CLS 5 cm (λ 1.046; ρ 2300; c 657) | Camera d'aria fortemente ventilata 35 cm (λ 0.285; ρ 1; c 1004) | Magrone 10 cm (λ 1.046; ρ 2300; c 657) | Ghiaia 20 cm (λ 1.2; ρ 1700; c 1000)</t>
  </si>
  <si>
    <t>Generic Ground Slab</t>
  </si>
  <si>
    <t>HB default (no BIM match)</t>
  </si>
  <si>
    <t>Generic 50mm Insulation 5 cm (λ 0.03; ρ 43; c 1210) | Generic HW Concrete 20 cm (λ 1.95; ρ 2240; c 900)</t>
  </si>
  <si>
    <t>FL_POLIMI-LC_InternalFloor_IH-E</t>
  </si>
  <si>
    <t>Floor over outdoor/unheated</t>
  </si>
  <si>
    <t>Linoleum 1 cm (λ 0.041; ρ 50; c 2301) | Massetto 15 cm (λ 1.2; ρ 1700; c 1000) | Isolante rigido 10 cm (λ 0.04; ρ 30; c 1452) | Solaio laterocemento 15 cm (λ 0.66; ρ 1100; c 839) | Intonaco interno 2 cm (λ 0.35; ρ 1200; c 999)</t>
  </si>
  <si>
    <t>WL_POLIMI-LC_IW01</t>
  </si>
  <si>
    <t>Internal partition exposed to outdoors (adjacent cell excluded from BEM)</t>
  </si>
  <si>
    <t>Intonaco gesso puro 1 cm (λ 0.35; ρ 1200; c 999) | Gypsum Board 2.5 cm (λ 0.21; ρ 900; c 1000) | Isolante morbido 4 cm (λ 0.04; ρ 80; c 1028) | Camera d'aria non ventilata 4 cm (λ 1; ρ 1; c 1003) | Calcestruzzo armato 30 cm (λ 2.3; ρ 2399.96; c 1000) | Intonaco interno 2 cm (λ 0.35; ρ 1200; c 999)</t>
  </si>
  <si>
    <t>WL_POLIMI-LC_IW02</t>
  </si>
  <si>
    <t>Intonaco interno 1 cm (λ 0.35; ρ 1200; c 999) | Gypsum Board 2.5 cm (λ 0.21; ρ 900; c 1000) | Isolante morbido 4 cm (λ 0.04; ρ 80; c 1028) | Camera d'aria non ventilata 6.5 cm (λ 1; ρ 1; c 1003) | Isolante morbido 4 cm (λ 0.04; ρ 80; c 1028) | Gypsum Board 2.5 cm (λ 0.21; ρ 900; c 1000) | Intonaco gesso puro 1 cm (λ 0.35; ρ 1200; c 999)</t>
  </si>
  <si>
    <t>WL_POLIMI-LC_IW03</t>
  </si>
  <si>
    <t>Intonaco interno 1 cm (λ 0.35; ρ 1200; c 999) | Gypsum Board 2.5 cm (λ 0.21; ρ 900; c 1000) | Isolante morbido 6.5 cm (λ 0.04; ρ 80; c 1028)</t>
  </si>
  <si>
    <t>WL_POLIMI-LC_IW04</t>
  </si>
  <si>
    <t>Intonaco interno 1 cm (λ 0.35; ρ 1200; c 999) | Gypsum Board 2.5 cm (λ 0.21; ρ 900; c 1000) | Isolante morbido 4 cm (λ 0.04; ρ 80; c 1028) | Camera d'aria non ventilata 6.5 cm (λ 1; ρ 1; c 1003) | Isolante morbido 4 cm (λ 0.04; ρ 80; c 1028) | Gypsum Board 2.5 cm (λ 0.21; ρ 900; c 1000) | Intonaco gesso puro 1 cm (λ 0.35; ρ 1200; c 999) | Piastrelle 1.5 cm (λ 1.3; ρ 2300; c 839)</t>
  </si>
  <si>
    <t>WL_POLIMI-LC_IW05_Toilet</t>
  </si>
  <si>
    <t>Piastrelle 1.5 cm (λ 1.3; ρ 2300; c 839) | Intonaco interno 1 cm (λ 0.35; ρ 1200; c 999) | Gypsum Board 2.5 cm (λ 0.21; ρ 900; c 1000) | Isolante morbido 4 cm (λ 0.04; ρ 80; c 1028) | Camera d'aria non ventilata 6.5 cm (λ 1; ρ 1; c 1003) | Isolante morbido 4 cm (λ 0.04; ρ 80; c 1028) | Gypsum Board 2.5 cm (λ 0.21; ρ 900; c 1000) | Intonaco gesso puro 1 cm (λ 0.35; ρ 1200; c 999) | Piastrelle 1.5 cm (λ 1.3; ρ 2300; c 839)</t>
  </si>
  <si>
    <t>WL_POLIMI-LC_IW06_Toilet</t>
  </si>
  <si>
    <t>Camera d'aria non ventilata 6.5 cm (λ 1; ρ 1; c 1003) | Isolante morbido 4 cm (λ 0.04; ρ 80; c 1028) | Gypsum Board 2.5 cm (λ 0.21; ρ 900; c 1000) | Intonaco gesso puro 1 cm (λ 0.35; ρ 1200; c 999) | Piastrelle 1.5 cm (λ 1.3; ρ 2300; c 839)</t>
  </si>
  <si>
    <t>Element</t>
  </si>
  <si>
    <t>E+ model</t>
  </si>
  <si>
    <t>SHGC</t>
  </si>
  <si>
    <t>VT</t>
  </si>
  <si>
    <t>Glass layers (BIM)</t>
  </si>
  <si>
    <t>Glass U (BIM, W/m²K)</t>
  </si>
  <si>
    <t>Frame material (BIM)</t>
  </si>
  <si>
    <t>Frame U (BIM, W/m²K)</t>
  </si>
  <si>
    <t>Glazing area fraction (BIM)</t>
  </si>
  <si>
    <t>Glazed fraction in BEM</t>
  </si>
  <si>
    <t>B09 area (m²)</t>
  </si>
  <si>
    <t>B09 with ext. blind</t>
  </si>
  <si>
    <t>B10 area (m²)</t>
  </si>
  <si>
    <t>B10 with ext. blind</t>
  </si>
  <si>
    <t>Note</t>
  </si>
  <si>
    <t>windowConstruction_U0.9_SHGC0.67_VT0.8</t>
  </si>
  <si>
    <t>Window / glazed door (IfcWindow, IfcDoor)</t>
  </si>
  <si>
    <t>WindowMaterial:SimpleGlazingSystem</t>
  </si>
  <si>
    <t>Double</t>
  </si>
  <si>
    <t>Aluminium</t>
  </si>
  <si>
    <t>geometry of the aperture</t>
  </si>
  <si>
    <t>curtainWallWindowConstruction_U0.9_SHGC0.67_VT0.8</t>
  </si>
  <si>
    <t>Curtain wall (IfcWall CurtainWall / CurtainWall150)</t>
  </si>
  <si>
    <t>0.81 (face scaled 0.9 × 0.9)</t>
  </si>
  <si>
    <t>windowConstruction_U0.9_SHGC0.67_VT0.58</t>
  </si>
  <si>
    <t>curtainWallWindowConstruction_U0.9_SHGC0.67_VT0.58</t>
  </si>
  <si>
    <t>B09: 23 curtain-wall panels (841.5 m²) have BIM VT 0.58 but kept HB 'Generic Double Pane' in the IDF; reported here with their BIM glazing properties (author decision, table only).</t>
  </si>
  <si>
    <t>ID</t>
  </si>
  <si>
    <t>Paper table</t>
  </si>
  <si>
    <t>Paper property name</t>
  </si>
  <si>
    <t>Topologic entity</t>
  </si>
  <si>
    <t>Topologic key</t>
  </si>
  <si>
    <t>IFC entity</t>
  </si>
  <si>
    <t>IFC pset</t>
  </si>
  <si>
    <t>IFC property</t>
  </si>
  <si>
    <t>Read by workflow from</t>
  </si>
  <si>
    <t>BIM unit</t>
  </si>
  <si>
    <t>Cell → zone aggregation</t>
  </si>
  <si>
    <t>Honeybee object</t>
  </si>
  <si>
    <t>Honeybee attribute</t>
  </si>
  <si>
    <t>EnergyPlus object</t>
  </si>
  <si>
    <t>EnergyPlus field</t>
  </si>
  <si>
    <t>E+ unit</t>
  </si>
  <si>
    <t>Conversion BIM → E+</t>
  </si>
  <si>
    <t>Default if missing / 'Undefined'</t>
  </si>
  <si>
    <t>In IDF?</t>
  </si>
  <si>
    <t>Implementation</t>
  </si>
  <si>
    <t>Value B09 (BIM)</t>
  </si>
  <si>
    <t>Value B10 (BIM)</t>
  </si>
  <si>
    <t>Value in IDF – baseline</t>
  </si>
  <si>
    <t>Value in IDF – calibrated</t>
  </si>
  <si>
    <t>Notes</t>
  </si>
  <si>
    <t>S01</t>
  </si>
  <si>
    <t>T7</t>
  </si>
  <si>
    <t>Occupancy Type</t>
  </si>
  <si>
    <t>Cell</t>
  </si>
  <si>
    <t>pr_OccupancyType</t>
  </si>
  <si>
    <t>IfcSpace</t>
  </si>
  <si>
    <t>Altro (B09) / Other (B10)</t>
  </si>
  <si>
    <t>Topologic JSON</t>
  </si>
  <si>
    <t>text</t>
  </si>
  <si>
    <t>Prevalent: type of the cell with the largest occupant count (density × area)</t>
  </si>
  <si>
    <t>Room</t>
  </si>
  <si>
    <t>properties.energy.program_type (fixed: honeybee_energy office_program, not mapped)</t>
  </si>
  <si>
    <t>People / Lights / ElectricEquipment / ZoneInfiltration:DesignFlowRate</t>
  </si>
  <si>
    <t>Name (prefix 'Generic Office …' inherited from HB office program)</t>
  </si>
  <si>
    <t>none</t>
  </si>
  <si>
    <t>'StorageSpaces:GeneralStorageSpace' (cell, B09 nb); 'FacilityServiceSpaces:Corridor' if zone type contains 'Default' (B09 nb)</t>
  </si>
  <si>
    <t>Utils.TopologicZoneInheritSpaceData (Operation.py:4); TBIM.Cells_ClusterizeIntoEnergyZones</t>
  </si>
  <si>
    <t>FacilityServiceSpaces:HorizontalInfrastructure/ServiceSpaceNon-Occupied (×56); EducationandTrainingSpaces:Research/Non-ClassClassLaboratory (×23); EducationandTrainingSpaces:LectureHall(FixedSeats) (×19); FacilityServiceSpaces:UtilityEquipmentRoom (×13); FacilityServiceSpaces:ElevatorShaft (×12); FacilityServiceSpaces:Restroom (×12); FacilityServiceSpaces:Stairway (×9); FacilityServiceSpaces:Corridor (×8); StorageSpaces:GeneralStorageSpace (×1); EducationandTrainingSpaces:StudyRoom (×1); CommerceActivitySpaces:OfficeSpaces (×1)</t>
  </si>
  <si>
    <t>FacilityServiceSpaces:Corridor (×8); FacilityServiceSpaces:HorizontalInfrastructure/ServiceSpaceNon-Occupied (×8); FacilityServiceSpaces:Restroom (×7); FacilityServiceSpaces:Stairway (×5); FacilityServiceSpaces:ElevatorShaft (×5); EducationandTrainingSpaces:LectureHall(FixedSeats) (×4); ParkingSpaces:InteriorParkingSpaces (×3); FacilityServiceSpaces:UtilityEquipmentRoom (×3); StorageSpaces:GeneralStorageSpace (×3); ServiceActivitySpaces:SnackBar (×1); EducationandTrainingSpaces:Research/Non-ClassClassLaboratory (×1); ProtectiveSpaces:EntryPorch (×1)</t>
  </si>
  <si>
    <t>not written</t>
  </si>
  <si>
    <t>Used only to build zones: single-cell zones for lecture halls, labs, storage; stairs/elevators merged with adjacent corridor; horizontal infrastructure merged with corridor/stair/restroom.</t>
  </si>
  <si>
    <t>S02</t>
  </si>
  <si>
    <t>Is Occupied</t>
  </si>
  <si>
    <t>pr_IsOccupied</t>
  </si>
  <si>
    <t>bool (0/1)</t>
  </si>
  <si>
    <t>Logical OR</t>
  </si>
  <si>
    <t>0</t>
  </si>
  <si>
    <t>TBIM.Cells_ClusterizeIntoEnergyZones (K-Means feature)</t>
  </si>
  <si>
    <t>0 / 1</t>
  </si>
  <si>
    <t>K-Means feature (standardised).</t>
  </si>
  <si>
    <t>S03</t>
  </si>
  <si>
    <t>Is Heated</t>
  </si>
  <si>
    <t>pr_IsHeated</t>
  </si>
  <si>
    <t>Heating availability in E+ comes from rl_IsScheduledBy_Heating (S29), not from this flag.</t>
  </si>
  <si>
    <t>S04</t>
  </si>
  <si>
    <t>Is Cooled</t>
  </si>
  <si>
    <t>pr_IsCooled</t>
  </si>
  <si>
    <t>Cooling availability in E+ comes from rl_IsScheduledBy_Cooling (S30).</t>
  </si>
  <si>
    <t>S05</t>
  </si>
  <si>
    <t>Is Mechanically Ventilated</t>
  </si>
  <si>
    <t>pr_IsMechanicallyVentilated</t>
  </si>
  <si>
    <t>Logical OR (stored on zone)</t>
  </si>
  <si>
    <t>Utils.TopologicZoneInheritSpaceData (Operation.py:4)</t>
  </si>
  <si>
    <t>TBIM also contains a duplicate key 'pr_IsMechanicalVentilated'.</t>
  </si>
  <si>
    <t>S06</t>
  </si>
  <si>
    <t>Is Naturally Ventilated</t>
  </si>
  <si>
    <t>pr_IsNaturallyVentilated</t>
  </si>
  <si>
    <t>not read</t>
  </si>
  <si>
    <t>No natural-ventilation object (ZoneVentilation) is generated.</t>
  </si>
  <si>
    <t>S07</t>
  </si>
  <si>
    <t>Artificial Lighting</t>
  </si>
  <si>
    <t>pr_ArtificialLighting</t>
  </si>
  <si>
    <t>1</t>
  </si>
  <si>
    <t>S08</t>
  </si>
  <si>
    <t>Illuminance</t>
  </si>
  <si>
    <t>pr_Illuminance</t>
  </si>
  <si>
    <t>lux</t>
  </si>
  <si>
    <t>Lights</t>
  </si>
  <si>
    <t>Lighting_Level (= Design Level, W) hard-coded 300</t>
  </si>
  <si>
    <t>W</t>
  </si>
  <si>
    <t>TopologicCellComplexToIDF (ewi3.1 notebook, 'Set zone data' loop)</t>
  </si>
  <si>
    <t>150 / 200 / 300 / 500; Undefined (×12)</t>
  </si>
  <si>
    <t>150 / 200 / 300 / 500; Undefined (×7)</t>
  </si>
  <si>
    <t>300 written in Lighting_Level but ignored (method = Watts/Area)</t>
  </si>
  <si>
    <t>same</t>
  </si>
  <si>
    <t>The 300 is not lux: in E+ 'Lighting Level' is a power in W and is unused when Design Level Calculation Method = Watts/Area.</t>
  </si>
  <si>
    <t>S09</t>
  </si>
  <si>
    <t>Lighting Power Density</t>
  </si>
  <si>
    <t>pr_LightingPowerDensity</t>
  </si>
  <si>
    <t>W/m²</t>
  </si>
  <si>
    <t>Area-weighted mean</t>
  </si>
  <si>
    <t>Room → Lighting (from office program, then overwritten in IDF)</t>
  </si>
  <si>
    <t>properties.energy.lighting.watts_per_area</t>
  </si>
  <si>
    <t>Watts_per_Floor_Area (Design Level Calculation Method = Watts/Area)</t>
  </si>
  <si>
    <t>1:1</t>
  </si>
  <si>
    <t>6 / 7</t>
  </si>
  <si>
    <t>6</t>
  </si>
  <si>
    <t>B09: 0 / 6 / 7 | B10: 6</t>
  </si>
  <si>
    <t>Return-air 0, radiant 0.7, visible 0.2 (HB office defaults).</t>
  </si>
  <si>
    <t>S10</t>
  </si>
  <si>
    <t>Lighting Level</t>
  </si>
  <si>
    <t>(not in TBIM)</t>
  </si>
  <si>
    <t>Design_Level</t>
  </si>
  <si>
    <t>computed internally by E+ (W/m² × floor area)</t>
  </si>
  <si>
    <t>Paper says 'Calculate from Power Density · Area'; this is done by E+, not by the workflow.</t>
  </si>
  <si>
    <t>S11</t>
  </si>
  <si>
    <t>Equipment Power Density</t>
  </si>
  <si>
    <t>pr_EquipmentPowerDensity</t>
  </si>
  <si>
    <t>Room → ElectricEquipment (office program, overwritten in IDF)</t>
  </si>
  <si>
    <t>properties.energy.electric_equipment.watts_per_area</t>
  </si>
  <si>
    <t>ElectricEquipment</t>
  </si>
  <si>
    <t>Watts_per_Floor_Area (method Watts/Area)</t>
  </si>
  <si>
    <t>0 ('Undefined' → 0 in TBIM.Cells_CleanUndefinedData)</t>
  </si>
  <si>
    <t>Partial</t>
  </si>
  <si>
    <t>Undefined</t>
  </si>
  <si>
    <t>0; Undefined (×46)</t>
  </si>
  <si>
    <t>B09: 0 | B10: 0</t>
  </si>
  <si>
    <t>B09: 0 / 2 | B10: 0 / 2 / 10</t>
  </si>
  <si>
    <t>Undefined in the TBIM for every space → 0 W/m² in the baseline; 2 and 10 W/m² were typed manually during calibration.</t>
  </si>
  <si>
    <t>S12</t>
  </si>
  <si>
    <t>Occupancy Density Operation</t>
  </si>
  <si>
    <t>pr_OccupancyDensityOperation</t>
  </si>
  <si>
    <t>pp/m²</t>
  </si>
  <si>
    <t>Room → People (office program, overwritten in IDF)</t>
  </si>
  <si>
    <t>properties.energy.people.people_per_area</t>
  </si>
  <si>
    <t>People</t>
  </si>
  <si>
    <t>People_per_Floor_Area (Number of People Calculation Method = People/Area)</t>
  </si>
  <si>
    <t>person/m²</t>
  </si>
  <si>
    <t>0 / 0.12 / 0.3 / 0.6; Undefined (×12)</t>
  </si>
  <si>
    <t>0 / 0.3 / 0.6 / 0.8; Undefined (×10)</t>
  </si>
  <si>
    <t>B09: 0 / 0.12 / 0.3 / 0.6 | B10: 0 / 0.3 / 0.6 / 0.8</t>
  </si>
  <si>
    <t>Activity schedule 'Seated Adult Activity', radiant fraction 0.3 (HB office defaults). Also a K-Means feature.</t>
  </si>
  <si>
    <t>S13</t>
  </si>
  <si>
    <t>Occupancy Density Safety</t>
  </si>
  <si>
    <t>pr_OccupancyDensitySafety</t>
  </si>
  <si>
    <t>Area-weighted mean (stored on zone)</t>
  </si>
  <si>
    <t>0 / 0.4 / 1.2</t>
  </si>
  <si>
    <t>0 / 0.01 / 0.4 / 0.7 / 1.2</t>
  </si>
  <si>
    <t>Fire-safety design density; not an energy input.</t>
  </si>
  <si>
    <t>S14</t>
  </si>
  <si>
    <t>Occupancy Number</t>
  </si>
  <si>
    <t>pr_OccupancyNumber / pr_OccupancyNumberPeak</t>
  </si>
  <si>
    <t>pr_OccupancyNumberPeak</t>
  </si>
  <si>
    <t>pp</t>
  </si>
  <si>
    <t>16–158 (10 distinct); None (×122)</t>
  </si>
  <si>
    <t>49 / 126 / 162 / 180; None (×45)</t>
  </si>
  <si>
    <t>Present only on some cells. Occupant count in E+ = People/Area × floor area × schedule.</t>
  </si>
  <si>
    <t>S15</t>
  </si>
  <si>
    <t>Mechanical Ventilation Rate</t>
  </si>
  <si>
    <t>pr_MechanicalVentilationRate</t>
  </si>
  <si>
    <t>h⁻¹ per paper; used as L/s·m² by code</t>
  </si>
  <si>
    <t>Code intends volume-weighted mean, but zone value = value of LAST cell iterated (Operation.py:170 writes pr_MechanicalVentilationRate, not pr_ZoneMechanicalVentilationRate)</t>
  </si>
  <si>
    <t>Room → Ventilation (office program, overwritten in IDF)</t>
  </si>
  <si>
    <t>properties.energy.ventilation.flow_per_area</t>
  </si>
  <si>
    <t>DesignSpecification:OutdoorAir</t>
  </si>
  <si>
    <t>Outdoor_Air_Flow_per_Zone_Floor_Area (Outdoor Air Method = Maximum)</t>
  </si>
  <si>
    <t>m³/s·m²</t>
  </si>
  <si>
    <t>÷ 1000</t>
  </si>
  <si>
    <t>0–1332.16 (60 distinct)</t>
  </si>
  <si>
    <t>0–8 (9 distinct); Undefined (×3)</t>
  </si>
  <si>
    <t>B09: 0–0.008 (38 distinct) | B10: 0–0.008 (9 distinct)</t>
  </si>
  <si>
    <t>Stored value is an air-change rate (h⁻¹) = N_peak × 7 L/s·p × 3.6 / V_net, but the code writes it as L/s·m² (see I07). Restrooms: 8 h⁻¹ → 0.008 m³/s·m².</t>
  </si>
  <si>
    <t>S16</t>
  </si>
  <si>
    <t>Mechanical Ventilation Rate Per Person</t>
  </si>
  <si>
    <t>pr_MechanicalVentilationRatePerPerson</t>
  </si>
  <si>
    <t>(only in TBIM JSON)</t>
  </si>
  <si>
    <t>Occupant-weighted mean</t>
  </si>
  <si>
    <t>Room → Ventilation</t>
  </si>
  <si>
    <t>properties.energy.ventilation.flow_per_person</t>
  </si>
  <si>
    <t>Outdoor_Air_Flow_per_Person</t>
  </si>
  <si>
    <t>m³/s·person</t>
  </si>
  <si>
    <t>0 / 7</t>
  </si>
  <si>
    <t>B09: 0 / 0.007 | B10: 0 / 0.007</t>
  </si>
  <si>
    <t>Referenced by HVACTemplate:Zone:IdealLoadsAirSystem (Outdoor Air Method = DetailedSpecification). 'Maximum' = max(per-person, per-area), not their sum.</t>
  </si>
  <si>
    <t>S17</t>
  </si>
  <si>
    <t>Mechanical Ventilation Rate Per Volume</t>
  </si>
  <si>
    <t>pr_MechanicalVentilationRatePerVolume</t>
  </si>
  <si>
    <t>TBIM.Cells_CleanUndefinedData only</t>
  </si>
  <si>
    <t>0 / 1 / 8</t>
  </si>
  <si>
    <t>For stairs/elevators/restrooms the same number is also stored in pr_MechanicalVentilationRate, which is what reaches E+.</t>
  </si>
  <si>
    <t>S18</t>
  </si>
  <si>
    <t>Natural Ventilation Rate</t>
  </si>
  <si>
    <t>notebook constant</t>
  </si>
  <si>
    <t>ZoneInfiltration:DesignFlowRate</t>
  </si>
  <si>
    <t>see Map_Model M16</t>
  </si>
  <si>
    <t>Paper reports 0.30 h⁻¹ 'baseline envelope infiltration'; the model uses 0.0001 m³/s per m² of exterior surface (see M16 / I09).</t>
  </si>
  <si>
    <t>S19</t>
  </si>
  <si>
    <t>Space Temperature Summer Max</t>
  </si>
  <si>
    <t>pr_SpaceTemperatureSummerMax</t>
  </si>
  <si>
    <t>Minimum over cells (stored on zone)</t>
  </si>
  <si>
    <t>Room → Setpoint</t>
  </si>
  <si>
    <t>cooling_schedule = ScheduleRuleset.from_constant_value('Generic room Cooling', 26) – NOT from TBIM</t>
  </si>
  <si>
    <t>HVACTemplate:Thermostat → Schedule</t>
  </si>
  <si>
    <t>Cooling_Setpoint_Schedule_Name = 'Generic room Cooling'</t>
  </si>
  <si>
    <t>26 (B09 nb) / 30 (TBIM.Cells_CleanUndefinedData)</t>
  </si>
  <si>
    <t>HB.HBRoomSetSetpointSchedules (Operation.py:541)</t>
  </si>
  <si>
    <t>26; Undefined (×21)</t>
  </si>
  <si>
    <t>26; Undefined (×14)</t>
  </si>
  <si>
    <t>Schedule:Constant 26 °C (both buildings)</t>
  </si>
  <si>
    <t>Schedule:Compact 20 °C (B09) / 22 °C (B10), all day</t>
  </si>
  <si>
    <t>TBIM temperature limits are not transferred; see Issues I04.</t>
  </si>
  <si>
    <t>S20</t>
  </si>
  <si>
    <t>Space Temperature Summer Min</t>
  </si>
  <si>
    <t>pr_SpaceTemperatureSummerMin</t>
  </si>
  <si>
    <t>23 (B09 nb) / 28 (CleanUndefinedData)</t>
  </si>
  <si>
    <t>23; Undefined (×21)</t>
  </si>
  <si>
    <t>23; Undefined (×14)</t>
  </si>
  <si>
    <t>S21</t>
  </si>
  <si>
    <t>Space Temperature Winter Max</t>
  </si>
  <si>
    <t>pr_SpaceTemperatureWinterMax</t>
  </si>
  <si>
    <t>Maximum over cells (stored on zone)</t>
  </si>
  <si>
    <t>23.5 (B09 nb) / 16 (CleanUndefinedData)</t>
  </si>
  <si>
    <t>23.5; Undefined (×21)</t>
  </si>
  <si>
    <t>23.5; Undefined (×14)</t>
  </si>
  <si>
    <t>S22</t>
  </si>
  <si>
    <t>Space Temperature Winter Min</t>
  </si>
  <si>
    <t>pr_SpaceTemperatureWinterMin</t>
  </si>
  <si>
    <t>heating_schedule = constant 'Generic room Heating' 20 °C – NOT from TBIM</t>
  </si>
  <si>
    <t>Heating_Setpoint_Schedule_Name = 'Generic room Heating'</t>
  </si>
  <si>
    <t>18 (B09 nb) / 10 (CleanUndefinedData)</t>
  </si>
  <si>
    <t>HB.HBRoomSetSetpointSchedules</t>
  </si>
  <si>
    <t>18; Undefined (×21)</t>
  </si>
  <si>
    <t>18; Undefined (×14)</t>
  </si>
  <si>
    <t>Schedule:Constant 20 °C</t>
  </si>
  <si>
    <t>B09: 15 °C (0–7 h) / 18 °C (7–18 h) / 15 °C; B10: 18 / 22 / 18 °C</t>
  </si>
  <si>
    <t>See Issues I04.</t>
  </si>
  <si>
    <t>S23</t>
  </si>
  <si>
    <t>Space Humidity Max</t>
  </si>
  <si>
    <t>pr_HumidityMax</t>
  </si>
  <si>
    <t>% RH</t>
  </si>
  <si>
    <t>Minimum over cells</t>
  </si>
  <si>
    <t>Room → IdealAirSystem (add_default_ideal_air)</t>
  </si>
  <si>
    <t>– (written after export)</t>
  </si>
  <si>
    <t>HVACTemplate:Zone:IdealLoadsAirSystem</t>
  </si>
  <si>
    <t>Dehumidification_Setpoint (Dehumidification Control Type = Humidistat)</t>
  </si>
  <si>
    <t>100 (TBIM.Cells_CleanUndefinedData)</t>
  </si>
  <si>
    <t>70; Undefined (×12)</t>
  </si>
  <si>
    <t>70; Undefined (×11)</t>
  </si>
  <si>
    <t>B09: 70 / 100 | B10: 70 / 100</t>
  </si>
  <si>
    <t>HB also writes unused constant schedules 'Generic room Dehumidifying' 60 % / 'Generic room Humidifying' 10 %.</t>
  </si>
  <si>
    <t>S24</t>
  </si>
  <si>
    <t>Space Humidity Min</t>
  </si>
  <si>
    <t>pr_HumidityMin</t>
  </si>
  <si>
    <t>Maximum over cells</t>
  </si>
  <si>
    <t>Room → IdealAirSystem</t>
  </si>
  <si>
    <t>Humidification_Setpoint (Humidification Control Type = Humidistat)</t>
  </si>
  <si>
    <t>40; Undefined (×12)</t>
  </si>
  <si>
    <t>40; Undefined (×11)</t>
  </si>
  <si>
    <t>B09: 0 / 40 | B10: 0 / 40</t>
  </si>
  <si>
    <t>S25</t>
  </si>
  <si>
    <t>Space Wind Load Rating</t>
  </si>
  <si>
    <t>pr_SpaceWindLoadRating</t>
  </si>
  <si>
    <t>class</t>
  </si>
  <si>
    <t>Undefined (×67); A4 (×59); None (×29)</t>
  </si>
  <si>
    <t>Undefined (×33); None (×12); A4 (×4)</t>
  </si>
  <si>
    <t>Paper says 'Eurocode 1 / Class 3'; the model stores window class 'A4' (EN 12210).</t>
  </si>
  <si>
    <t>S26</t>
  </si>
  <si>
    <t>– (new)</t>
  </si>
  <si>
    <t>Cell (added by nb)</t>
  </si>
  <si>
    <t>rl_IsScheduledBy_Occupancy</t>
  </si>
  <si>
    <t>IFC DesignTransferView</t>
  </si>
  <si>
    <t>schedule id</t>
  </si>
  <si>
    <t>Value of LAST cell iterated (Operation.py:174 uses rl_IsScheduledBy_*, not rl_ZoneIsScheduledBy_*)</t>
  </si>
  <si>
    <t>Room → People</t>
  </si>
  <si>
    <t>occupancy_schedule (overwritten in IDF)</t>
  </si>
  <si>
    <t>Number_of_People_Schedule_Name</t>
  </si>
  <si>
    <t>id; prefix 'OccSch_'</t>
  </si>
  <si>
    <t>'OccSch_Unoccupied'</t>
  </si>
  <si>
    <t>ewi3.1 nb §1.2 + TopologicCellComplexToIDF (ewi3.1 notebook, 'Set zone data' loop)</t>
  </si>
  <si>
    <t>None (×71); OccSch_Unoccupied (×67); OccSch_B0.1 (×2); OccSch_B0.7 (×1); OccSch_B0.6 (×1); OccSch_B0.5 (×1); OccSch_B1.3 (×1); OccSch_B0.4 (×1); OccSch_B0.3 (×1); OccSch_B0.2 (×1); OccSch_B1.5 (×1); OccSch_B1.4 (×1); OccSch_B1.2 (×1); OccSch_B1.1 (×1); OccSch_B2.4 (×1); OccSch_B2.3 (×1); OccSch_B2.6 (×1); OccSch_B2.5 (×1); OccSch_B2.2 (×1)</t>
  </si>
  <si>
    <t>OccSch_Unoccupied (×31); None (×13); OccSch_A0.1/A0.2 (×2); OccSch_A1.3 (×1); OccSch_A1.2 (×1); OccSch_A1.1 (×1)</t>
  </si>
  <si>
    <t>B09: OccSch_Unoccupied (×47); OccSch_B0.1 (×2); OccSch_B0.7 (×1); OccSch_B0.6 (×1); OccSch_B0.5 (×1); OccSch_B1.3 (×1); OccSch_B0.4 (×1); OccSch_B0.3 (×1); OccSch_B0.2 (×1); OccSch_B1.5 (×1); OccSch_B1.4 (×1); OccSch_B1.2 (×1); OccSch_B1.1 (×1); OccSch_B2.3 (×1); OccSch_B2.4 (×1); OccSch_B2.6 (×1); OccSch_B2.5 (×1); OccSch_B2.2 (×1) | B10: OccSch_Unoccupied (×15); OccSch_A0.1/A0.2 (×2); OccSch_A1.3 (×1); OccSch_A1.2 (×1); OccSch_A1.1 (×1)</t>
  </si>
  <si>
    <t>Schedules defined in _schedules/Schedules_Occupancy_PoliMi_LC.json (see Val_Schedules).</t>
  </si>
  <si>
    <t>S27</t>
  </si>
  <si>
    <t>rl_IsScheduledBy_Lighting</t>
  </si>
  <si>
    <t>Value of last cell iterated</t>
  </si>
  <si>
    <t>Room → Lighting</t>
  </si>
  <si>
    <t>schedule (overwritten in IDF)</t>
  </si>
  <si>
    <t>Schedule_Name</t>
  </si>
  <si>
    <t>first token before ';'</t>
  </si>
  <si>
    <t>'AlwaysOff' (cell); 'LghSch_Costant' (B09 zone fix)</t>
  </si>
  <si>
    <t>None (×71); LghSch_Costant (×53); LghSch_Unoccupied (×14); LghSch_Costant;LghSch_B0.1 (×2); LghSch_Costant;LghSch_B0.7 (×1); LghSch_Costant;LghSch_B0.6 (×1); LghSch_Costant;LghSch_B0.5 (×1); LghSch_Costant;LghSch_B1.3 (×1); LghSch_Costant;LghSch_B0.4 (×1); LghSch_Costant;LghSch_B0.3 (×1); LghSch_Costant;LghSch_B0.2 (×1); LghSch_Costant;LghSch_B1.5 (×1); LghSch_Costant;LghSch_B1.4 (×1); LghSch_Costant;LghSch_B1.2 (×1); LghSch_Costant;LghSch_B1.1 (×1); LghSch_Costant;LghSch_B2.4 (×1); LghSch_Costant;LghSch_B2.3 (×1); LghSch_Costant;LghSch_B2.6 (×1); LghSch_Costant;LghSch_B2.5 (×1); LghSch_Costant;LghSch_B2.2 (×1)</t>
  </si>
  <si>
    <t>LghSch_Unoccupied (×16); LghSch_Costant (×15); None (×14); LghSch_A1.3;LghSch_Costant (×1); LghSch_A1.2;LghSch_Costant (×1); LghSch_A1.1;LghSch_Costant (×1); LghSch_A0.1/A0.2;LghSch_Costant (×1)</t>
  </si>
  <si>
    <t>B09: LghSch_Costant (×55); AlwaysOff (×9); LghSch_Unoccupied (×1) | B10: LghSch_Costant (×7); AlwaysOff (×5); LghSch_Unoccupied (×4); LghSch_A1.3 (×1); LghSch_A1.2 (×1); LghSch_A1.1 (×1); LghSch_A0.1/A0.2 (×1)</t>
  </si>
  <si>
    <t>Multi-valued IFC entries such as 'LghSch_Costant;LghSch_B0.1' keep only the FIRST id. 'LghSch_Costant' = 0 all year in the baseline (see I06).</t>
  </si>
  <si>
    <t>S28</t>
  </si>
  <si>
    <t>rl_IsScheduledBy_Equipment</t>
  </si>
  <si>
    <t>Room → ElectricEquipment</t>
  </si>
  <si>
    <t>'AlwaysOff' (cell); 'EqpSch_Unoccupied' (B09 zone fix)</t>
  </si>
  <si>
    <t>None (×71); EqpSch_Costant (×53); EqpSch_Unoccupied (×14); EqpSch_Costant;EqpSch_B0.1 (×2); EqpSch_Costant;EqpSch_B0.7 (×1); EqpSch_Costant;EqpSch_B0.6 (×1); EqpSch_Costant;EqpSch_B0.5 (×1); EqpSch_Costant;EqpSch_B1.3 (×1); EqpSch_Costant;EqpSch_B0.4 (×1); EqpSch_Costant;EqpSch_B0.3 (×1); EqpSch_Costant;EqpSch_B0.2 (×1); EqpSch_Costant;EqpSch_B1.5 (×1); EqpSch_Costant;EqpSch_B1.4 (×1); EqpSch_Costant;EqpSch_B1.2 (×1); EqpSch_Costant;EqpSch_B1.1 (×1); EqpSch_Costant;EqpSch_B2.4 (×1); EqpSch_Costant;EqpSch_B2.3 (×1); EqpSch_Costant;EqpSch_B2.6 (×1); EqpSch_Costant;EqpSch_B2.5 (×1); EqpSch_Costant;EqpSch_B2.2 (×1)</t>
  </si>
  <si>
    <t>EqpSch_Costant (×18); None (×14); EqpSch_Unoccupied (×13); EqpSch_A1.3;EqpSch_Costant (×1); EqpSch_A1.2;EqpSch_Costant (×1); EqpSch_A1.1;EqpSch_Costant (×1); EqpSch_A0.1/A0.2;EqpSch_Costant (×1)</t>
  </si>
  <si>
    <t>B09: EqpSch_Costant (×55); AlwaysOff (×9); EqpSch_Unoccupied (×1) | B10: EqpSch_Costant (×6); EqpSch_Unoccupied (×5); AlwaysOff (×5); EqpSch_A1.3 (×1); EqpSch_A1.2 (×1); EqpSch_A1.1 (×1); EqpSch_A0.1/A0.2 (×1)</t>
  </si>
  <si>
    <t>'EqpSch_Costant' (sic) is a copy of EqpSch_Unoccupied created in the notebook.</t>
  </si>
  <si>
    <t>S29</t>
  </si>
  <si>
    <t>Heating availability schedule</t>
  </si>
  <si>
    <t>rl_IsScheduledBy_Heating</t>
  </si>
  <si>
    <t>Heating_Availability_Schedule_Name</t>
  </si>
  <si>
    <t>id; prefix 'HtnSch_'</t>
  </si>
  <si>
    <t>'AlwaysOff'</t>
  </si>
  <si>
    <t>None (×81); HtnSch_AHU (×75)</t>
  </si>
  <si>
    <t>None (×26); HtnSch_AHU (×23)</t>
  </si>
  <si>
    <t>B09: HtnSch_AHU (×52); AlwaysOff (×13) | B10: HtnSch_AHU (×12); AlwaysOff (×8)</t>
  </si>
  <si>
    <t>HtnSch_AHU: 07–18 h all year (baseline); always 1 (calibrated).</t>
  </si>
  <si>
    <t>S30</t>
  </si>
  <si>
    <t>Cooling availability schedule</t>
  </si>
  <si>
    <t>rl_IsScheduledBy_Cooling</t>
  </si>
  <si>
    <t>Cooling_Availability_Schedule_Name</t>
  </si>
  <si>
    <t>id; prefix 'ClnSch_'</t>
  </si>
  <si>
    <t>None (×81); ClnSch_AHU (×75)</t>
  </si>
  <si>
    <t>None (×26); ClnSch_AHU (×23)</t>
  </si>
  <si>
    <t>B09: ClnSch_AHU (×52); AlwaysOff (×13) | B10: ClnSch_AHU (×12); AlwaysOff (×8)</t>
  </si>
  <si>
    <t>ClnSch_AHU: 07–18 h from 16/4 to 14/10 (baseline); always 1 (calibrated).</t>
  </si>
  <si>
    <t>S31</t>
  </si>
  <si>
    <t>Ventilation (system) availability schedule</t>
  </si>
  <si>
    <t>rl_IsScheduledBy_Ventilation</t>
  </si>
  <si>
    <t>System_Availability_Schedule_Name</t>
  </si>
  <si>
    <t>id; prefix 'VntSch_'</t>
  </si>
  <si>
    <t>None (×81); VntSch_AHU (×75)</t>
  </si>
  <si>
    <t>None (×26); VntSch_AHU (×23)</t>
  </si>
  <si>
    <t>B09: VntSch_AHU (×52); AlwaysOff (×13) | B10: VntSch_AHU (×12); AlwaysOff (×8)</t>
  </si>
  <si>
    <t>System availability switches the whole ideal-loads system (heating, cooling and outdoor air).</t>
  </si>
  <si>
    <t>S32</t>
  </si>
  <si>
    <t>Storey</t>
  </si>
  <si>
    <t>rl_HasLocation_tpBS</t>
  </si>
  <si>
    <t>IfcSpace / IfcBuildingStorey</t>
  </si>
  <si>
    <t>id</t>
  </si>
  <si>
    <t>Taken from zone dictionary</t>
  </si>
  <si>
    <t>story</t>
  </si>
  <si>
    <t>– (HB story is not written to IDF)</t>
  </si>
  <si>
    <t>'noneStorey'</t>
  </si>
  <si>
    <t>TopologicCellComplexToIDF</t>
  </si>
  <si>
    <t>BuildingStorey_-595cm (×45); BuildingStorey_5cm (×42); BuildingStorey_1029cm (×35); BuildingStorey_517cm (×33)</t>
  </si>
  <si>
    <t>BuildingStorey_-595cm (×21); BuildingStorey_5cm (×15); BuildingStorey_517cm (×12); BuildingStorey_1029cm (×1)</t>
  </si>
  <si>
    <t>Also used to build zone ids before renaming (storey-clusterN).</t>
  </si>
  <si>
    <t>S33</t>
  </si>
  <si>
    <t>Space / zone identifier</t>
  </si>
  <si>
    <t>Cell → zone CellComplex</t>
  </si>
  <si>
    <t>UID → rl_HasLocation_tpZN</t>
  </si>
  <si>
    <t>UID</t>
  </si>
  <si>
    <t>Cells grouped by rl_HasLocation_tpZN (K-Means + adjacency rules) → CellComplex.ByCells</t>
  </si>
  <si>
    <t>identifier = zone UID ('zoneNN')</t>
  </si>
  <si>
    <t>Zone</t>
  </si>
  <si>
    <t>Name</t>
  </si>
  <si>
    <t>'debugZoneN' for unassigned cells (B09 nb)</t>
  </si>
  <si>
    <t>TBIM.EnergyZones; HBRoom(tpZoneUID, faces, 0.01, 1)</t>
  </si>
  <si>
    <t>155 cells</t>
  </si>
  <si>
    <t>49 cells</t>
  </si>
  <si>
    <t>B09: 65 zones | B10: 20 zones</t>
  </si>
  <si>
    <t>S34</t>
  </si>
  <si>
    <t>Area / volume</t>
  </si>
  <si>
    <t>pr_GrossArea, pr_NetVolume … (stored) / Cell.Area(), Cell.Volume() (computed)</t>
  </si>
  <si>
    <t>Qto_SpaceBaseQuantities</t>
  </si>
  <si>
    <t>GrossFloorArea, NetVolume</t>
  </si>
  <si>
    <t>Topologic geometry</t>
  </si>
  <si>
    <t>cm² / cm³</t>
  </si>
  <si>
    <t>Used as weights for aggregations</t>
  </si>
  <si>
    <t>floor_area / volume (from geometry)</t>
  </si>
  <si>
    <t>Floor_Area / Volume = autocalculate</t>
  </si>
  <si>
    <t>m² / m³</t>
  </si>
  <si>
    <t>from geometry</t>
  </si>
  <si>
    <t>autocalculated by E+</t>
  </si>
  <si>
    <t>Stored BIM quantities are not used; E+ recomputes from surfaces.</t>
  </si>
  <si>
    <t>E01</t>
  </si>
  <si>
    <t>T8</t>
  </si>
  <si>
    <t>– (surface classification)</t>
  </si>
  <si>
    <t>Face</t>
  </si>
  <si>
    <t>pr_TopologicalType (extVer / intVer / topHor / botHor / intHor)</t>
  </si>
  <si>
    <t>– (derived)</t>
  </si>
  <si>
    <t>Topologic JSON (set from CellComplex.Decompose if missing)</t>
  </si>
  <si>
    <t>type: 'VER'→Wall, 'HOR'→Floor, 'TOP'→RoofCeiling</t>
  </si>
  <si>
    <t>BuildingSurface:Detailed</t>
  </si>
  <si>
    <t>Surface_Type (Wall / Floor / Roof / Ceiling)</t>
  </si>
  <si>
    <t>keyword</t>
  </si>
  <si>
    <t>set by CellComplex.Decompose</t>
  </si>
  <si>
    <t>HB.HBFacesByTopologicZone (Operation.py:999)</t>
  </si>
  <si>
    <t>see Val_Constructions</t>
  </si>
  <si>
    <t>Wall / Floor / Roof / Ceiling</t>
  </si>
  <si>
    <t>Interior HB Floor/RoofCeiling pairs become Floor/Ceiling after solve_adjacency.</t>
  </si>
  <si>
    <t>E02</t>
  </si>
  <si>
    <t>Construction Name</t>
  </si>
  <si>
    <t>pr_WallTypeName (extVer, intVer) / pr_RoofTypeName (topHor) / pr_FloorTypeName (botHor, intHor) → HBConstructionName</t>
  </si>
  <si>
    <t>IfcWallType / IfcSlabType / IfcRoofType</t>
  </si>
  <si>
    <t>Name ('Family:Type'; part after ':')</t>
  </si>
  <si>
    <t>Topologic JSON + IFC DesignTransferView</t>
  </si>
  <si>
    <t>OpaqueConstruction</t>
  </si>
  <si>
    <t>identifier / display_name</t>
  </si>
  <si>
    <t>Construction_Name</t>
  </si>
  <si>
    <t>match by name; only if name ∈ HB opaque constructions</t>
  </si>
  <si>
    <t>HB default ('Generic Interior Wall', 'Generic Interior Floor', 'Generic Ground Slab'); 'Generic Exterior Wall' → WL_POLIMI-LC_EW02; 'Generic Roof' → RF_POLIMI-LC_IH-E</t>
  </si>
  <si>
    <t>TBIM.Faces_SetHBConstructionName; Eppy.IdfSetFaceConstructions</t>
  </si>
  <si>
    <t>Construction names are re-assigned with Eppy after the HB→IDF export.</t>
  </si>
  <si>
    <t>E03</t>
  </si>
  <si>
    <t>– (layer set)</t>
  </si>
  <si>
    <t>IfcWallType / IfcSlabType</t>
  </si>
  <si>
    <t>IfcRelAssociatesMaterial</t>
  </si>
  <si>
    <t>IfcMaterialLayerSet.MaterialLayers (order kept: outside → inside)</t>
  </si>
  <si>
    <t>materials (list, outside → inside)</t>
  </si>
  <si>
    <t>Outside_Layer, Layer_2 … Layer_10</t>
  </si>
  <si>
    <t>1:1 order</t>
  </si>
  <si>
    <t>construction skipped if no layer has λ, ρ and c</t>
  </si>
  <si>
    <t>HB.HBOpaqueConstructionsByIFCPaths (Operation.py:234); Eppy.IdfSetConstructionsAndMaterials</t>
  </si>
  <si>
    <t>see Val_Layers</t>
  </si>
  <si>
    <t>IfcRoofType has no layer set in either IFC → roof construction typed in the notebook (E14).</t>
  </si>
  <si>
    <t>E04</t>
  </si>
  <si>
    <t>– (material name)</t>
  </si>
  <si>
    <t>IfcMaterial</t>
  </si>
  <si>
    <t>IFC ReferenceView</t>
  </si>
  <si>
    <t>EnergyMaterial</t>
  </si>
  <si>
    <t>identifier = '{Name}-{thickness_m}' (',' → '-')</t>
  </si>
  <si>
    <t>Material</t>
  </si>
  <si>
    <t>string</t>
  </si>
  <si>
    <t>HB.HBOpaqueConstructionsByIFCPaths</t>
  </si>
  <si>
    <t>E05</t>
  </si>
  <si>
    <t>– (layer thickness)</t>
  </si>
  <si>
    <t>IfcMaterialLayer</t>
  </si>
  <si>
    <t>LayerThickness</t>
  </si>
  <si>
    <t>cm</t>
  </si>
  <si>
    <t>thickness</t>
  </si>
  <si>
    <t>Thickness</t>
  </si>
  <si>
    <t>m</t>
  </si>
  <si>
    <t>÷ 100</t>
  </si>
  <si>
    <t>0 → 0.005 m</t>
  </si>
  <si>
    <t>Waterproofing membranes have LayerThickness 0 in IFC → 5 mm in E+.</t>
  </si>
  <si>
    <t>E06</t>
  </si>
  <si>
    <t>– (thermal conductivity)</t>
  </si>
  <si>
    <t>IfcMaterialProperties</t>
  </si>
  <si>
    <t>ThermalConductivity</t>
  </si>
  <si>
    <t>W/m·K</t>
  </si>
  <si>
    <t>conductivity</t>
  </si>
  <si>
    <t>Conductivity</t>
  </si>
  <si>
    <t>round(·, 3)</t>
  </si>
  <si>
    <t>material skipped</t>
  </si>
  <si>
    <t>Air cavities are written as massive Material with λ = 0.285 / 1.0 W/m·K and ρ = 1 kg/m³ (no Material:AirGap).</t>
  </si>
  <si>
    <t>E07</t>
  </si>
  <si>
    <t>– (density)</t>
  </si>
  <si>
    <t>Density (not MassDensity)</t>
  </si>
  <si>
    <t>kg/m³</t>
  </si>
  <si>
    <t>density</t>
  </si>
  <si>
    <t>Density</t>
  </si>
  <si>
    <t>IFC carries two densities (Density, MassDensity) that differ, e.g. insulation 30 vs 80 kg/m³; the workflow uses 'Density'.</t>
  </si>
  <si>
    <t>E08</t>
  </si>
  <si>
    <t>– (specific heat)</t>
  </si>
  <si>
    <t>SpecificHeatCapacity (any name containing 'HEAT')</t>
  </si>
  <si>
    <t>J/kg·K</t>
  </si>
  <si>
    <t>specific_heat</t>
  </si>
  <si>
    <t>Specific_Heat</t>
  </si>
  <si>
    <t>int() (truncation)</t>
  </si>
  <si>
    <t>E09</t>
  </si>
  <si>
    <t>– (emissivity)</t>
  </si>
  <si>
    <t>Emissivity</t>
  </si>
  <si>
    <t>thermal_absorptance</t>
  </si>
  <si>
    <t>Thermal_Absorptance</t>
  </si>
  <si>
    <t>if ε &gt; 0.05: round(ε, 2) else 0.7</t>
  </si>
  <si>
    <t>0.9</t>
  </si>
  <si>
    <t>E10</t>
  </si>
  <si>
    <t>– (solar absorptance)</t>
  </si>
  <si>
    <t>solar_absorptance</t>
  </si>
  <si>
    <t>Solar_Absorptance</t>
  </si>
  <si>
    <t>constant</t>
  </si>
  <si>
    <t>0.7</t>
  </si>
  <si>
    <t>0.7 (all opaque materials)</t>
  </si>
  <si>
    <t>IFC 'Analytical Properties.Absorptance' is not read by the active function.</t>
  </si>
  <si>
    <t>E11</t>
  </si>
  <si>
    <t>– (visible absorptance)</t>
  </si>
  <si>
    <t>visible_absorptance</t>
  </si>
  <si>
    <t>Visible_Absorptance</t>
  </si>
  <si>
    <t>E12</t>
  </si>
  <si>
    <t>– (roughness)</t>
  </si>
  <si>
    <t>roughness</t>
  </si>
  <si>
    <t>Roughness</t>
  </si>
  <si>
    <t>MediumRough</t>
  </si>
  <si>
    <t>E13</t>
  </si>
  <si>
    <t>Thermal Transmittance (wall / roof / ground floor / partitions)</t>
  </si>
  <si>
    <t>Analytical Properties</t>
  </si>
  <si>
    <t>Heat Transfer Coefficient (U) / Thermal Resistance (R)</t>
  </si>
  <si>
    <t>W/m²K</t>
  </si>
  <si>
    <t>u_value (derived from layers)</t>
  </si>
  <si>
    <t>(none – E+ derives U from layers)</t>
  </si>
  <si>
    <t>(legacy HB.HBOpaqueConstructionsByIFC reads R but is not called)</t>
  </si>
  <si>
    <t>see Val_Constructions (computed)</t>
  </si>
  <si>
    <t>Report U computed from the IDF layers (Val_Constructions), not stored IFC U-values.</t>
  </si>
  <si>
    <t>E14</t>
  </si>
  <si>
    <t>Roof construction</t>
  </si>
  <si>
    <t>pr_RoofTypeName</t>
  </si>
  <si>
    <t>IfcRoofType</t>
  </si>
  <si>
    <t>Name (no material layers in IFC)</t>
  </si>
  <si>
    <t>RF_POLIMI-LC_IH-E: Ghiaia 0.08 / Massetto 0.12 / Isolante rigido 0.08 / CLS 0.25 m</t>
  </si>
  <si>
    <t>Construction + Material</t>
  </si>
  <si>
    <t>all layer fields</t>
  </si>
  <si>
    <t>SI</t>
  </si>
  <si>
    <t>typed in nb §2.1.2</t>
  </si>
  <si>
    <t>ewi3.1 nb §2.1.2 'Manual debug'</t>
  </si>
  <si>
    <t>RF_POLIMI-LC_IH-E, RF_POLIMI-LC_INH-E</t>
  </si>
  <si>
    <t>RF_POLIMI-LC_IH-E only</t>
  </si>
  <si>
    <t>Faces typed RF_POLIMI-LC_INH-E (15 in B09) fall back to 'Generic Roof' → RF_POLIMI-LC_IH-E.</t>
  </si>
  <si>
    <t>E15</t>
  </si>
  <si>
    <t>Outside boundary condition</t>
  </si>
  <si>
    <t>UID (lists adiabaticFaceUIDs / groundFaceUIDs in nb)</t>
  </si>
  <si>
    <t>HB + notebook constant</t>
  </si>
  <si>
    <t>boundary_condition (Outdoors / Ground / Surface via Room.solve_adjacency)</t>
  </si>
  <si>
    <t>Outside_Boundary_Condition (+ Outside_Boundary_Condition_Object)</t>
  </si>
  <si>
    <t>'Adiabatic' / 'Ground' forced by face UID</t>
  </si>
  <si>
    <t>Outdoors</t>
  </si>
  <si>
    <t>HBRoom.solve_adjacency(tol 0.01); TopologicCellComplexToIDF 'SURFACE CONDITIONS'</t>
  </si>
  <si>
    <t>adiabatic: extVerFace13, 14, 140, 142, 143; ground: 17 faces</t>
  </si>
  <si>
    <t>adiabatic: extVerFace8–14</t>
  </si>
  <si>
    <t>B09: Surface (×1190); Outdoors (×471); Ground (×63); Adiabatic (×5) | B10: Surface (×260); Outdoors (×135); Ground (×15); Adiabatic (×7)</t>
  </si>
  <si>
    <t>Faces of excluded cells (notUsefullCellUIDs) leave their neighbours exposed: interior partitions become 'Outdoors'.</t>
  </si>
  <si>
    <t>E16</t>
  </si>
  <si>
    <t>Surface geometry</t>
  </si>
  <si>
    <t>Face.ExternalBoundary vertices</t>
  </si>
  <si>
    <t>IfcSpace boundaries (via TBIM)</t>
  </si>
  <si>
    <t>geometry = Face3D(Point3D)</t>
  </si>
  <si>
    <t>Vertex_n_X/Y/Zcoordinate</t>
  </si>
  <si>
    <t>HB.HBFacesByTopologicZone</t>
  </si>
  <si>
    <t>GlobalGeometryRules: UpperLeftCorner, Counterclockwise, Relative</t>
  </si>
  <si>
    <t>E17</t>
  </si>
  <si>
    <t>Surface identifier</t>
  </si>
  <si>
    <t>identifier = '{faceUID}-{zoneUID}'</t>
  </si>
  <si>
    <t>e.g. extVerFace62-zone27</t>
  </si>
  <si>
    <t>e.g. extVerFace0-zone12</t>
  </si>
  <si>
    <t>same pattern</t>
  </si>
  <si>
    <t>Join key between TBIM faces and IDF surfaces.</t>
  </si>
  <si>
    <t>A01</t>
  </si>
  <si>
    <t>T9</t>
  </si>
  <si>
    <t>– (aperture type)</t>
  </si>
  <si>
    <t>Aperture (Face)</t>
  </si>
  <si>
    <t>pr_TopologicalType (window / door / hole)</t>
  </si>
  <si>
    <t>IfcWindow / IfcDoor</t>
  </si>
  <si>
    <t>Other (IfcWindow/IfcDoor) – Altro in B09</t>
  </si>
  <si>
    <t>pr_TopologicalType</t>
  </si>
  <si>
    <t>Aperture</t>
  </si>
  <si>
    <t>(window and door → Aperture; hole → skipped)</t>
  </si>
  <si>
    <t>FenestrationSurface:Detailed</t>
  </si>
  <si>
    <t>Surface_Type = Window</t>
  </si>
  <si>
    <t>door ×211, hole ×38 (no IfcWindow)</t>
  </si>
  <si>
    <t>door ×67, hole ×16, window ×1</t>
  </si>
  <si>
    <t>B09: Window (×55) | B10: Window (×25)</t>
  </si>
  <si>
    <t>Doors are modelled as glazed HB Apertures; HB Door / E+ Door objects are never created (hbRoomDoors stays empty). Apertures are dropped on faces that are curtain walls or adiabatic: only 1 door (B09) and 3 doors + 1 window (B10) reach the IDF.</t>
  </si>
  <si>
    <t>A02</t>
  </si>
  <si>
    <t>– (curtain wall)</t>
  </si>
  <si>
    <t>pr_WallTypeName contains 'CURTAIN'</t>
  </si>
  <si>
    <t>IfcWall (type …CurtainWall / …CurtainWall150)</t>
  </si>
  <si>
    <t>type Name</t>
  </si>
  <si>
    <t>identifier 'curtainWall-{faceUID}'; geometry = face scaled 0.9 × 0.9 about its centre (≈ 81 % of face area)</t>
  </si>
  <si>
    <t>Name / vertices</t>
  </si>
  <si>
    <t>linear scale 0.9</t>
  </si>
  <si>
    <t>55 extVer curtain-wall faces (+47 intVer, no aperture)</t>
  </si>
  <si>
    <t>WL_POLIMI-LC_CurtainWall faces (see Val_Glazing)</t>
  </si>
  <si>
    <t>see Val_Glazing</t>
  </si>
  <si>
    <t>Glazing fraction is fixed by the scale factor, not by pr_WindowGlazingAreaFraction (0.8).</t>
  </si>
  <si>
    <t>A03</t>
  </si>
  <si>
    <t>Thermal Transmittance</t>
  </si>
  <si>
    <t>Face (curtain wall) / Aperture</t>
  </si>
  <si>
    <t>pr_WindowThermalTrasmittance / pr_ThermalTrasmittance</t>
  </si>
  <si>
    <t>IfcWall (curtain) / IfcWindow / IfcDoor</t>
  </si>
  <si>
    <t>WindowConstruction (from_simple_parameters)</t>
  </si>
  <si>
    <t>u_factor</t>
  </si>
  <si>
    <t>UFactor</t>
  </si>
  <si>
    <t>first construction in list / HB 'Generic Double Pane'</t>
  </si>
  <si>
    <t>HB.HBWindowConstructionsByIFC (Operation.py:908; inline copy in B09 nb); Eppy.IdfSetWindowConstructions / IdfSetCurtainWallConstructions</t>
  </si>
  <si>
    <t>0.9 (NaN on 39 doors, 2 curtain walls)</t>
  </si>
  <si>
    <t>Whole-window U; frame and glass U (A08, A09) are not used separately.</t>
  </si>
  <si>
    <t>A04</t>
  </si>
  <si>
    <t>Solar Heat Gain Transmittance</t>
  </si>
  <si>
    <t>Face / Aperture</t>
  </si>
  <si>
    <t>pr_WindowSolarTrasmittance / pr_SolarTrasmittance</t>
  </si>
  <si>
    <t>IfcWall / IfcWindow / IfcDoor</t>
  </si>
  <si>
    <t>WindowConstruction</t>
  </si>
  <si>
    <t>shgc</t>
  </si>
  <si>
    <t>Solar_Heat_Gain_Coefficient</t>
  </si>
  <si>
    <t>as above</t>
  </si>
  <si>
    <t>as A03</t>
  </si>
  <si>
    <t>0.67</t>
  </si>
  <si>
    <t>A05</t>
  </si>
  <si>
    <t>Visible Light Transmittance</t>
  </si>
  <si>
    <t>pr_WindowVisibleTrasmittance / pr_VisibleTrasmittance</t>
  </si>
  <si>
    <t>vt</t>
  </si>
  <si>
    <t>Visible_Transmittance</t>
  </si>
  <si>
    <t>0.8 (IFC); TBIM faces 0.8 ×103, 0.58 ×121</t>
  </si>
  <si>
    <t>0.8 / 0.58</t>
  </si>
  <si>
    <t>B09: 0.8 | B10: 0.8, 0.58</t>
  </si>
  <si>
    <t>B09: the TBIM has VT 0.58 on 121 curtain-wall faces but the B09 IFC only defines VT 0.8, so those panels (23 in the IDF) fall back to HB 'Generic Double Pane'.</t>
  </si>
  <si>
    <t>A06</t>
  </si>
  <si>
    <t>Glazing construction name</t>
  </si>
  <si>
    <t>(built)</t>
  </si>
  <si>
    <t>derived</t>
  </si>
  <si>
    <t>identifier 'windowConstruction_U{U}_SHGC{g}_VT{vt}' / 'curtainWallWindowConstruction_…'</t>
  </si>
  <si>
    <t>Construction (1 layer) + FenestrationSurface:Detailed</t>
  </si>
  <si>
    <t>Name / Construction_Name</t>
  </si>
  <si>
    <t>hbWindowConstructionNames[0]</t>
  </si>
  <si>
    <t>Eppy.IdfSetConstructionsAndMaterials</t>
  </si>
  <si>
    <t>A07</t>
  </si>
  <si>
    <t>Glass Layers</t>
  </si>
  <si>
    <t>pr_WindowGlassLayers / pr_GlassLayers</t>
  </si>
  <si>
    <t>IfcWindow / IfcDoor / IfcWall</t>
  </si>
  <si>
    <t>pr_GlassLayers</t>
  </si>
  <si>
    <t>Simple glazing model: number of panes is implicit in U/SHGC.</t>
  </si>
  <si>
    <t>A08</t>
  </si>
  <si>
    <t>Glass Thermal Transmittance</t>
  </si>
  <si>
    <t>pr_WindowGlassTermalTrasmittance / pr_GlassTermalTrasmittance</t>
  </si>
  <si>
    <t>pr_GlassTermalTrasmittance</t>
  </si>
  <si>
    <t>1.1</t>
  </si>
  <si>
    <t>Glass U (1.1) &gt; whole-window U (0.9) with frame U 0.7: check consistency.</t>
  </si>
  <si>
    <t>A09</t>
  </si>
  <si>
    <t>Frame Material / frame U</t>
  </si>
  <si>
    <t>pr_WindowFrameMaterial, pr_WindowFrameThermalTrasmittance</t>
  </si>
  <si>
    <t>pr_FrameMaterial, pr_FrameThermalTrasmittance</t>
  </si>
  <si>
    <t>text / W/m²K</t>
  </si>
  <si>
    <t>(WindowProperty:FrameAndDivider not generated)</t>
  </si>
  <si>
    <t>Aluminium; 0.7</t>
  </si>
  <si>
    <t>A10</t>
  </si>
  <si>
    <t>Glazing Area Fraction</t>
  </si>
  <si>
    <t>pr_WindowGlazingAreaFraction / pr_GlazingAreaFraction</t>
  </si>
  <si>
    <t>pr_GlazingAreaFraction</t>
  </si>
  <si>
    <t>0.8</t>
  </si>
  <si>
    <t>See A02: curtain-wall glazing = 0.81 by geometry.</t>
  </si>
  <si>
    <t>A11</t>
  </si>
  <si>
    <t>Width / Height</t>
  </si>
  <si>
    <t>pr_Width, pr_Heigth (sic)</t>
  </si>
  <si>
    <t>pr_Width, pr_Heigth</t>
  </si>
  <si>
    <t>not read (geometry used instead)</t>
  </si>
  <si>
    <t>geometry from aperture face vertices</t>
  </si>
  <si>
    <t>None</t>
  </si>
  <si>
    <t>per aperture</t>
  </si>
  <si>
    <t>Paper values (2.80 × 1.50 m) are not model values.</t>
  </si>
  <si>
    <t>A12</t>
  </si>
  <si>
    <t>Wind Load Rating</t>
  </si>
  <si>
    <t>pr_WindowWindLoadRating / pr_WindLoadRating</t>
  </si>
  <si>
    <t>IfcWindow</t>
  </si>
  <si>
    <t>pr_WindLoadRating</t>
  </si>
  <si>
    <t>A4</t>
  </si>
  <si>
    <t>A3</t>
  </si>
  <si>
    <t>A13</t>
  </si>
  <si>
    <t>Aperture identifier / host</t>
  </si>
  <si>
    <t>UID, uuid, rl_HasLocation_inFC</t>
  </si>
  <si>
    <t>Aperture / Face</t>
  </si>
  <si>
    <t>identifier '{UID}-{uuid}'; Face.add_apertures</t>
  </si>
  <si>
    <t>Name / Building_Surface_Name</t>
  </si>
  <si>
    <t>A14</t>
  </si>
  <si>
    <t>External blinds</t>
  </si>
  <si>
    <t>(list fenestrationSurfaceWithBlinds in nb)</t>
  </si>
  <si>
    <t>WindowMaterial:Blind + WindowShadingControl + Construction '…-withBlinds-…'</t>
  </si>
  <si>
    <t>Slat width 0.30 m, separation 0.50 m, thickness 0.001 m, angle 90° (min 85, max 95), λ 160 W/m·K, beam/diffuse solar refl. 0.6, visible refl. 0.5, IR emissivity 0.9, blind-to-glass 0.30 m, side openings 0.5; Shading_Type ExteriorBlind, Control AlwaysOn, FixedSlatAngle</t>
  </si>
  <si>
    <t>constants</t>
  </si>
  <si>
    <t>TopologicCellComplexToIDF 'BLINDS'</t>
  </si>
  <si>
    <t>11 curtain-wall surfaces</t>
  </si>
  <si>
    <t>3 curtain walls + 1 window</t>
  </si>
  <si>
    <t>B09: 11 controls | B10: 4</t>
  </si>
  <si>
    <t>Not derived from BIM; consider adding an IFC shading device property.</t>
  </si>
  <si>
    <t>Topic</t>
  </si>
  <si>
    <t>Topologic key(s)</t>
  </si>
  <si>
    <t>IFC detail</t>
  </si>
  <si>
    <t>Rule / value</t>
  </si>
  <si>
    <t>EnergyPlus field(s)</t>
  </si>
  <si>
    <t>Value B09</t>
  </si>
  <si>
    <t>Value B10</t>
  </si>
  <si>
    <t>M01</t>
  </si>
  <si>
    <t>Zoning: clustering</t>
  </si>
  <si>
    <t>pr_IsOccupied, pr_IsHeated, pr_IsCooled, pr_OccupancyDensityOperation</t>
  </si>
  <si>
    <t>→ IfcZone (exported)</t>
  </si>
  <si>
    <t>K-Means (n_clusters = 6, StandardScaler, random_state = 14); single-cell zones for LectureHall, Research Lab, GeneralStorage; stairs/elevators → adjacent corridor; HorizontalInfrastructure → corridor/stair, then restroom; split by adjacency; excluded cells notUsefullCellUIDs</t>
  </si>
  <si>
    <t>one Room per zone CellComplex</t>
  </si>
  <si>
    <t>Name, Multiplier = 1, Volume/Area autocalculate</t>
  </si>
  <si>
    <t>TBIM.Cells_ClusterizeIntoEnergyZones (Operation.py:1517; inline copy in B09 nb)</t>
  </si>
  <si>
    <t>B09: 65 zones (incl. 12 'debugZone')</t>
  </si>
  <si>
    <t>B10: 20 zones</t>
  </si>
  <si>
    <t>Excluded B09: Cell59, 115–125, 153; B10: Cell3, 22–25, 29.</t>
  </si>
  <si>
    <t>M02</t>
  </si>
  <si>
    <t>Zoning: data inheritance</t>
  </si>
  <si>
    <t>Zone CellComplex</t>
  </si>
  <si>
    <t>see Map_Spaces 'Cell → zone aggregation'</t>
  </si>
  <si>
    <t>Topologic</t>
  </si>
  <si>
    <t>OR / area-weighted / occupant-weighted / min / max / prevalent</t>
  </si>
  <si>
    <t>People, Lights, …</t>
  </si>
  <si>
    <t>Bug: schedules and pr_MechanicalVentilationRate take the last cell's value.</t>
  </si>
  <si>
    <t>M03</t>
  </si>
  <si>
    <t>Geometry units</t>
  </si>
  <si>
    <t>Vertex</t>
  </si>
  <si>
    <t>X, Y, Z</t>
  </si>
  <si>
    <t>cm → m (÷ 100)</t>
  </si>
  <si>
    <t>Face3D / Point3D</t>
  </si>
  <si>
    <t>vertices</t>
  </si>
  <si>
    <t>M04</t>
  </si>
  <si>
    <t>Room creation</t>
  </si>
  <si>
    <t>Zone CellComplex + Faces</t>
  </si>
  <si>
    <t>HBRoom(identifier, faces, tolerance = 0.01 m, angle tolerance = 1°); Room.solve_adjacency(0.01)</t>
  </si>
  <si>
    <t>identifier, faces, story</t>
  </si>
  <si>
    <t>Zone + BuildingSurface:Detailed</t>
  </si>
  <si>
    <t>M05</t>
  </si>
  <si>
    <t>Context shading</t>
  </si>
  <si>
    <t>Face (BRep)</t>
  </si>
  <si>
    <t>BRep files *_Shades-Balconies / -ContextBuildings / -AdjacentBuildings.brep</t>
  </si>
  <si>
    <t>cm → m; Vegetation BRep not used</t>
  </si>
  <si>
    <t>Shade (is_detached = True)</t>
  </si>
  <si>
    <t>identifier 'shade{j}-{i}'</t>
  </si>
  <si>
    <t>Shading:Building:Detailed</t>
  </si>
  <si>
    <t>Name, vertices</t>
  </si>
  <si>
    <t>HB.HBShadesByTopologicBRepPaths</t>
  </si>
  <si>
    <t>88 shades</t>
  </si>
  <si>
    <t>79 shades</t>
  </si>
  <si>
    <t>Shades are opaque, no transmittance schedule.</t>
  </si>
  <si>
    <t>M06</t>
  </si>
  <si>
    <t>HB program (base loads)</t>
  </si>
  <si>
    <t>HB library</t>
  </si>
  <si>
    <t>honeybee_energy.lib.programtypes.office_program, then People/Lights/Equipment/OA overwritten by Eppy</t>
  </si>
  <si>
    <t>properties.energy.program_type</t>
  </si>
  <si>
    <t>People, Lights, ElectricEquipment, ZoneInfiltration, DesignSpecification:OutdoorAir</t>
  </si>
  <si>
    <t>names 'Generic Office …'</t>
  </si>
  <si>
    <t>Activity 'Seated Adult Activity', infiltration schedule 'Generic Office Infiltration' stay from the office program.</t>
  </si>
  <si>
    <t>M07</t>
  </si>
  <si>
    <t>Ideal loads HVAC</t>
  </si>
  <si>
    <t>HB default</t>
  </si>
  <si>
    <t>add_default_ideal_air()</t>
  </si>
  <si>
    <t>properties.energy.hvac (IdealAirSystem)</t>
  </si>
  <si>
    <t>Max heating SAT 50 °C; min cooling SAT 13 °C; heating limit LimitCapacity (autosize); cooling limit LimitFlowRateAndCapacity (autosize); economizer DifferentialDryBulb; heat recovery None; DCV None</t>
  </si>
  <si>
    <t>No AHU capacity caps (paper: 7,200 / 11,000 m³/h).</t>
  </si>
  <si>
    <t>M08</t>
  </si>
  <si>
    <t>Thermostat</t>
  </si>
  <si>
    <t>HB constant</t>
  </si>
  <si>
    <t>Setpoint('Room Setpoint', heating 20 °C, cooling 26 °C)</t>
  </si>
  <si>
    <t>properties.energy.setpoint</t>
  </si>
  <si>
    <t>HVACTemplate:Thermostat + Schedule:Constant</t>
  </si>
  <si>
    <t>Heating/Cooling_Setpoint_Schedule_Name</t>
  </si>
  <si>
    <t>baseline 20/26 °C</t>
  </si>
  <si>
    <t>calibrated: see S19/S22</t>
  </si>
  <si>
    <t>M09</t>
  </si>
  <si>
    <t>Infiltration</t>
  </si>
  <si>
    <t>infiltrationFlowRateDict['TightBuilding'] = 0.0001 m³/s per m² exterior surface</t>
  </si>
  <si>
    <t>infiltration (office program)</t>
  </si>
  <si>
    <t>Design_Flow_Rate_Calculation_Method = Flow/ExteriorArea; Flow_Rate_per_Exterior_Surface_Area = 0.0001; coefficients 1/0/0/0; schedule 'Generic Office Infiltration'</t>
  </si>
  <si>
    <t>TopologicCellComplexToIDF 'CONSTRUCTION'</t>
  </si>
  <si>
    <t>0.0001</t>
  </si>
  <si>
    <t>Options in nb: PassiveHouse 7.1e-5, Tight 1e-4, Average 3e-4, Leaky 6e-4.</t>
  </si>
  <si>
    <t>M10</t>
  </si>
  <si>
    <t>Service hot water</t>
  </si>
  <si>
    <t>ServiceHotWater('Office Hot Water', 0.1 L/h·m², 'Office room dayschedule' 9–17 h)</t>
  </si>
  <si>
    <t>service_hot_water</t>
  </si>
  <si>
    <t>WaterUse:Equipment</t>
  </si>
  <si>
    <t>Peak_Flow_Rate, Flow_Rate_Fraction_Schedule_Name</t>
  </si>
  <si>
    <t>Not BIM-derived; outputs not reported in the paper.</t>
  </si>
  <si>
    <t>M11</t>
  </si>
  <si>
    <t>Schedules</t>
  </si>
  <si>
    <t>_schedules/*.json (HB ScheduleRuleset dicts)</t>
  </si>
  <si>
    <t>rules → 'Through: m/d' / 'For: &lt;weekday | Weekdays | AllDays&gt;' / 'Until: hh:00', value clipped to type limits</t>
  </si>
  <si>
    <t>ScheduleRuleset (dict)</t>
  </si>
  <si>
    <t>identifier (prefixed)</t>
  </si>
  <si>
    <t>Schedule:Compact + ScheduleTypeLimits</t>
  </si>
  <si>
    <t>Name, Schedule_Type_Limits_Name, Field_n</t>
  </si>
  <si>
    <t>HB.*ScheduleRulesetDictsByJSONPath; Eppy.IdfScheduleCompactByHBScheduleRulesetDict (Operation.py:1183)</t>
  </si>
  <si>
    <t>See Val_Schedules. Prefixes: OccSch_, EqpSch_, LghSch_, HtnSch_, ClnSch_, VntSch_. Plus 'AlwaysOff'.</t>
  </si>
  <si>
    <t>M12</t>
  </si>
  <si>
    <t>buildingName, northAxis = 45°, terrain = 'City'</t>
  </si>
  <si>
    <t>Model</t>
  </si>
  <si>
    <t>identifier</t>
  </si>
  <si>
    <t>Name, North_Axis, Terrain, Solar_Distribution = FullExterior (overrides HB value)</t>
  </si>
  <si>
    <t>edificio09, 45°, City</t>
  </si>
  <si>
    <t>edificio10, 45°, City</t>
  </si>
  <si>
    <t>M13</t>
  </si>
  <si>
    <t>Simulation control</t>
  </si>
  <si>
    <t>HB.HBDefaultSimulationParameter</t>
  </si>
  <si>
    <t>zone sizing Yes, system/plant sizing No, sizing periods No, run periods Yes</t>
  </si>
  <si>
    <t>SimulationParameter</t>
  </si>
  <si>
    <t>simulation_control</t>
  </si>
  <si>
    <t>SimulationControl</t>
  </si>
  <si>
    <t>all fields</t>
  </si>
  <si>
    <t>Operation.py:468</t>
  </si>
  <si>
    <t>M14</t>
  </si>
  <si>
    <t>Timestep</t>
  </si>
  <si>
    <t>6 per hour (nb attempt to set 4 has no effect)</t>
  </si>
  <si>
    <t>timestep</t>
  </si>
  <si>
    <t>Number_of_Timesteps_per_Hour</t>
  </si>
  <si>
    <t>Operation.py:531</t>
  </si>
  <si>
    <t>baseline 6, calibrated 4</t>
  </si>
  <si>
    <t>M15</t>
  </si>
  <si>
    <t>Run period</t>
  </si>
  <si>
    <t>HB default + Eppy at run time</t>
  </si>
  <si>
    <t>IDF: 1/1–31/12/2017, start Monday; overwritten to 2024 by Eppy.EnergyPlus_RunSimulation</t>
  </si>
  <si>
    <t>RunPeriod</t>
  </si>
  <si>
    <t>start/end date</t>
  </si>
  <si>
    <t>Begin/End Month/Day/Year</t>
  </si>
  <si>
    <t>Operation.py:1132</t>
  </si>
  <si>
    <t>Paper: monitoring period 1/2/2024–31/1/2025.</t>
  </si>
  <si>
    <t>M16</t>
  </si>
  <si>
    <t>Daylight saving / holidays</t>
  </si>
  <si>
    <t>DST 12/3–5/11; holidays 1/1 and 4/7</t>
  </si>
  <si>
    <t>daylight_saving_time, holidays</t>
  </si>
  <si>
    <t>RunPeriodControl:DaylightSavingTime / :SpecialDays</t>
  </si>
  <si>
    <t>Start/End Date</t>
  </si>
  <si>
    <t>Operation.py:482</t>
  </si>
  <si>
    <t>US defaults (4 July); Italian DST is last Sun of March → last Sun of October.</t>
  </si>
  <si>
    <t>M17</t>
  </si>
  <si>
    <t>Shadow calculation</t>
  </si>
  <si>
    <t>PolygonClipping, Periodic, every 30 days, max 15 000 figures</t>
  </si>
  <si>
    <t>ShadowCalculation</t>
  </si>
  <si>
    <t>Operation.py:507</t>
  </si>
  <si>
    <t>M18</t>
  </si>
  <si>
    <t>Sizing</t>
  </si>
  <si>
    <t>HB default + DDY</t>
  </si>
  <si>
    <t>heating factor 1.25, cooling factor 1.15; design days from ITA_LM_Grigna.Settentrion.160700_TMYx.ddy (99.6 % htg DB, 0.4 % clg DP)</t>
  </si>
  <si>
    <t>SizingParameter</t>
  </si>
  <si>
    <t>Sizing:Parameters + SizingPeriod:DesignDay</t>
  </si>
  <si>
    <t>Operation.py:516; nb 'add_from_ddy_996_004'</t>
  </si>
  <si>
    <t>M19</t>
  </si>
  <si>
    <t>Weather</t>
  </si>
  <si>
    <t>EPW</t>
  </si>
  <si>
    <t>WP3/_climate/Lecco/Lecco_IT-hour.epw</t>
  </si>
  <si>
    <t>(simulation input)</t>
  </si>
  <si>
    <t>Eppy.EnergyPlus_RunSimulation</t>
  </si>
  <si>
    <t>M20</t>
  </si>
  <si>
    <t>Outputs</t>
  </si>
  <si>
    <t>Eppy.DigitManOutputVariables + nb</t>
  </si>
  <si>
    <t>Zone Ideal Loads Zone Total Heating/Cooling Energy, Zone Electric Equipment Electricity Energy, Zone Lights Electricity Energy, Zone People Occupant Count, Zone Mean Air / Air / Mean Radiant / Operative Temperature</t>
  </si>
  <si>
    <t>SimulationOutput</t>
  </si>
  <si>
    <t>outputs</t>
  </si>
  <si>
    <t>Output:Variable</t>
  </si>
  <si>
    <t>Variable_Name, Reporting_Frequency = Hourly</t>
  </si>
  <si>
    <t>Eppy.IdfSetOutputVariables</t>
  </si>
  <si>
    <t>Calibration uses ZONE18 Mean Radiant Temperature (B10).</t>
  </si>
  <si>
    <t>N cells</t>
  </si>
  <si>
    <t>pr_OccupancyType_Number</t>
  </si>
  <si>
    <t>rl_IsScheduledBy_Occupancy (IFC)</t>
  </si>
  <si>
    <t>rl_IsScheduledBy_Lighting (IFC)</t>
  </si>
  <si>
    <t>rl_IsScheduledBy_Equipment (IFC)</t>
  </si>
  <si>
    <t>rl_IsScheduledBy_Heating (IFC)</t>
  </si>
  <si>
    <t>rl_IsScheduledBy_Cooling (IFC)</t>
  </si>
  <si>
    <t>rl_IsScheduledBy_Ventilation (IFC)</t>
  </si>
  <si>
    <t>CommerceActivitySpaces:OfficeSpaces</t>
  </si>
  <si>
    <t>2</t>
  </si>
  <si>
    <t>0.12</t>
  </si>
  <si>
    <t>0.4</t>
  </si>
  <si>
    <t>7</t>
  </si>
  <si>
    <t>500</t>
  </si>
  <si>
    <t>0.68599</t>
  </si>
  <si>
    <t>26</t>
  </si>
  <si>
    <t>23</t>
  </si>
  <si>
    <t>23.5</t>
  </si>
  <si>
    <t>18</t>
  </si>
  <si>
    <t>70</t>
  </si>
  <si>
    <t>40</t>
  </si>
  <si>
    <t>OccSch_Unoccupied (×1)</t>
  </si>
  <si>
    <t>LghSch_Costant (×1)</t>
  </si>
  <si>
    <t>EqpSch_Costant (×1)</t>
  </si>
  <si>
    <t>HtnSch_AHU (×1)</t>
  </si>
  <si>
    <t>ClnSch_AHU (×1)</t>
  </si>
  <si>
    <t>VntSch_AHU (×1)</t>
  </si>
  <si>
    <t>EducationandTrainingSpaces:LectureHall(FixedSeats)</t>
  </si>
  <si>
    <t>5</t>
  </si>
  <si>
    <t>0.6</t>
  </si>
  <si>
    <t>1.2</t>
  </si>
  <si>
    <t>300</t>
  </si>
  <si>
    <t>0.33794–5.80349 (17 distinct)</t>
  </si>
  <si>
    <t>A4 (×18); Undefined (×1)</t>
  </si>
  <si>
    <t>OccSch_B0.1 (×2); OccSch_B0.7 (×1); OccSch_B0.6 (×1); OccSch_Unoccupied (×1); OccSch_B0.5 (×1); OccSch_B1.3 (×1); OccSch_B0.4 (×1); OccSch_B0.3 (×1); OccSch_B0.2 (×1); OccSch_B1.5 (×1); OccSch_B1.4 (×1); OccSch_B1.2 (×1); OccSch_B1.1 (×1); OccSch_B2.4 (×1); OccSch_B2.3 (×1); OccSch_B2.6 (×1); OccSch_B2.5 (×1); OccSch_B2.2 (×1)</t>
  </si>
  <si>
    <t>LghSch_Costant;LghSch_B0.1 (×2); LghSch_Costant;LghSch_B0.7 (×1); LghSch_Costant;LghSch_B0.6 (×1); LghSch_Costant (×1); LghSch_Costant;LghSch_B0.5 (×1); LghSch_Costant;LghSch_B1.3 (×1); LghSch_Costant;LghSch_B0.4 (×1); LghSch_Costant;LghSch_B0.3 (×1); LghSch_Costant;LghSch_B0.2 (×1); LghSch_Costant;LghSch_B1.5 (×1); LghSch_Costant;LghSch_B1.4 (×1); LghSch_Costant;LghSch_B1.2 (×1); LghSch_Costant;LghSch_B1.1 (×1); LghSch_Costant;LghSch_B2.4 (×1); LghSch_Costant;LghSch_B2.3 (×1); LghSch_Costant;LghSch_B2.6 (×1); LghSch_Costant;LghSch_B2.5 (×1); LghSch_Costant;LghSch_B2.2 (×1)</t>
  </si>
  <si>
    <t>EqpSch_Costant;EqpSch_B0.1 (×2); EqpSch_Costant;EqpSch_B0.7 (×1); EqpSch_Costant;EqpSch_B0.6 (×1); EqpSch_Costant (×1); EqpSch_Costant;EqpSch_B0.5 (×1); EqpSch_Costant;EqpSch_B1.3 (×1); EqpSch_Costant;EqpSch_B0.4 (×1); EqpSch_Costant;EqpSch_B0.3 (×1); EqpSch_Costant;EqpSch_B0.2 (×1); EqpSch_Costant;EqpSch_B1.5 (×1); EqpSch_Costant;EqpSch_B1.4 (×1); EqpSch_Costant;EqpSch_B1.2 (×1); EqpSch_Costant;EqpSch_B1.1 (×1); EqpSch_Costant;EqpSch_B2.4 (×1); EqpSch_Costant;EqpSch_B2.3 (×1); EqpSch_Costant;EqpSch_B2.6 (×1); EqpSch_Costant;EqpSch_B2.5 (×1); EqpSch_Costant;EqpSch_B2.2 (×1)</t>
  </si>
  <si>
    <t>HtnSch_AHU (×19)</t>
  </si>
  <si>
    <t>ClnSch_AHU (×19)</t>
  </si>
  <si>
    <t>VntSch_AHU (×19)</t>
  </si>
  <si>
    <t>EducationandTrainingSpaces:Research/Non-ClassClassLaboratory</t>
  </si>
  <si>
    <t>0.3</t>
  </si>
  <si>
    <t>1.47905–1.90732 (23 distinct)</t>
  </si>
  <si>
    <t>OccSch_Unoccupied (×23)</t>
  </si>
  <si>
    <t>LghSch_Costant (×23)</t>
  </si>
  <si>
    <t>EqpSch_Costant (×23)</t>
  </si>
  <si>
    <t>HtnSch_AHU (×23)</t>
  </si>
  <si>
    <t>ClnSch_AHU (×23)</t>
  </si>
  <si>
    <t>VntSch_AHU (×23)</t>
  </si>
  <si>
    <t>EducationandTrainingSpaces:StudyRoom</t>
  </si>
  <si>
    <t>4</t>
  </si>
  <si>
    <t>3.73838</t>
  </si>
  <si>
    <t>FacilityServiceSpaces:Corridor</t>
  </si>
  <si>
    <t>13</t>
  </si>
  <si>
    <t>OccSch_Unoccupied (×8)</t>
  </si>
  <si>
    <t>LghSch_Unoccupied (×7); LghSch_Costant (×1)</t>
  </si>
  <si>
    <t>EqpSch_Unoccupied (×7); EqpSch_Costant (×1)</t>
  </si>
  <si>
    <t>HtnSch_AHU (×5); None (×3)</t>
  </si>
  <si>
    <t>ClnSch_AHU (×5); None (×3)</t>
  </si>
  <si>
    <t>VntSch_AHU (×5); None (×3)</t>
  </si>
  <si>
    <t>FacilityServiceSpaces:ElevatorShaft</t>
  </si>
  <si>
    <t>9</t>
  </si>
  <si>
    <t>None (×12)</t>
  </si>
  <si>
    <t>FacilityServiceSpaces:HorizontalInfrastructure/ServiceSpaceNon-Occupied</t>
  </si>
  <si>
    <t>12</t>
  </si>
  <si>
    <t>0–1332.16 (16 distinct)</t>
  </si>
  <si>
    <t>None (×27); A4 (×17); Undefined (×12)</t>
  </si>
  <si>
    <t>None (×55); OccSch_Unoccupied (×1)</t>
  </si>
  <si>
    <t>None (×55); LghSch_Costant (×1)</t>
  </si>
  <si>
    <t>None (×55); EqpSch_Costant (×1)</t>
  </si>
  <si>
    <t>None (×51); HtnSch_AHU (×5)</t>
  </si>
  <si>
    <t>None (×51); ClnSch_AHU (×5)</t>
  </si>
  <si>
    <t>None (×51); VntSch_AHU (×5)</t>
  </si>
  <si>
    <t>FacilityServiceSpaces:Restroom</t>
  </si>
  <si>
    <t>11</t>
  </si>
  <si>
    <t>8</t>
  </si>
  <si>
    <t>OccSch_Unoccupied (×12)</t>
  </si>
  <si>
    <t>LghSch_Costant (×12)</t>
  </si>
  <si>
    <t>EqpSch_Costant (×12)</t>
  </si>
  <si>
    <t>HtnSch_AHU (×9); None (×3)</t>
  </si>
  <si>
    <t>ClnSch_AHU (×9); None (×3)</t>
  </si>
  <si>
    <t>VntSch_AHU (×9); None (×3)</t>
  </si>
  <si>
    <t>FacilityServiceSpaces:Stairway</t>
  </si>
  <si>
    <t>150</t>
  </si>
  <si>
    <t>Undefined (×7); None (×2)</t>
  </si>
  <si>
    <t>OccSch_Unoccupied (×7); None (×2)</t>
  </si>
  <si>
    <t>LghSch_Unoccupied (×7); None (×2)</t>
  </si>
  <si>
    <t>EqpSch_Unoccupied (×7); None (×2)</t>
  </si>
  <si>
    <t>HtnSch_AHU (×7); None (×2)</t>
  </si>
  <si>
    <t>ClnSch_AHU (×7); None (×2)</t>
  </si>
  <si>
    <t>VntSch_AHU (×7); None (×2)</t>
  </si>
  <si>
    <t>FacilityServiceSpaces:UtilityEquipmentRoom</t>
  </si>
  <si>
    <t>10</t>
  </si>
  <si>
    <t>Undefined (×12); A4 (×1)</t>
  </si>
  <si>
    <t>OccSch_Unoccupied (×12); None (×1)</t>
  </si>
  <si>
    <t>LghSch_Costant (×12); None (×1)</t>
  </si>
  <si>
    <t>EqpSch_Costant (×12); None (×1)</t>
  </si>
  <si>
    <t>None (×9); HtnSch_AHU (×4)</t>
  </si>
  <si>
    <t>None (×9); ClnSch_AHU (×4)</t>
  </si>
  <si>
    <t>None (×9); VntSch_AHU (×4)</t>
  </si>
  <si>
    <t>StorageSpaces:GeneralStorageSpace</t>
  </si>
  <si>
    <t>20</t>
  </si>
  <si>
    <t>200</t>
  </si>
  <si>
    <t>1.44286 / 1.56475 / 2.97108 / 3.3027</t>
  </si>
  <si>
    <t>A4 (×3); Undefined (×1)</t>
  </si>
  <si>
    <t>OccSch_A1.3 (×1); OccSch_A1.2 (×1); OccSch_A1.1 (×1); OccSch_A0.1/A0.2 (×1)</t>
  </si>
  <si>
    <t>LghSch_A1.3;LghSch_Costant (×1); LghSch_A1.2;LghSch_Costant (×1); LghSch_A1.1;LghSch_Costant (×1); LghSch_A0.1/A0.2;LghSch_Costant (×1)</t>
  </si>
  <si>
    <t>EqpSch_A1.3;EqpSch_Costant (×1); EqpSch_A1.2;EqpSch_Costant (×1); EqpSch_A1.1;EqpSch_Costant (×1); EqpSch_A0.1/A0.2;EqpSch_Costant (×1)</t>
  </si>
  <si>
    <t>HtnSch_AHU (×4)</t>
  </si>
  <si>
    <t>ClnSch_AHU (×4)</t>
  </si>
  <si>
    <t>VntSch_AHU (×4)</t>
  </si>
  <si>
    <t>1.83147</t>
  </si>
  <si>
    <t>LghSch_Unoccupied (×1)</t>
  </si>
  <si>
    <t>EqpSch_Unoccupied (×1)</t>
  </si>
  <si>
    <t>Undefined (×7); None (×1)</t>
  </si>
  <si>
    <t>OccSch_Unoccupied (×7); None (×1)</t>
  </si>
  <si>
    <t>LghSch_Unoccupied (×5); LghSch_Costant (×2); None (×1)</t>
  </si>
  <si>
    <t>EqpSch_Unoccupied (×5); EqpSch_Costant (×2); None (×1)</t>
  </si>
  <si>
    <t>HtnSch_AHU (×4); None (×4)</t>
  </si>
  <si>
    <t>ClnSch_AHU (×4); None (×4)</t>
  </si>
  <si>
    <t>VntSch_AHU (×4); None (×4)</t>
  </si>
  <si>
    <t>None (×3); OccSch_Unoccupied (×2)</t>
  </si>
  <si>
    <t>None (×4); LghSch_Costant (×1)</t>
  </si>
  <si>
    <t>None (×4); EqpSch_Costant (×1)</t>
  </si>
  <si>
    <t>None (×5)</t>
  </si>
  <si>
    <t>None (×7); OccSch_Unoccupied (×1)</t>
  </si>
  <si>
    <t>None (×7); LghSch_Costant (×1)</t>
  </si>
  <si>
    <t>None (×7); EqpSch_Costant (×1)</t>
  </si>
  <si>
    <t>None (×8)</t>
  </si>
  <si>
    <t>OccSch_Unoccupied (×7)</t>
  </si>
  <si>
    <t>LghSch_Costant (×7)</t>
  </si>
  <si>
    <t>EqpSch_Costant (×5); EqpSch_Unoccupied (×2)</t>
  </si>
  <si>
    <t>HtnSch_AHU (×7)</t>
  </si>
  <si>
    <t>ClnSch_AHU (×7)</t>
  </si>
  <si>
    <t>VntSch_AHU (×7)</t>
  </si>
  <si>
    <t>Undefined (×4); None (×1)</t>
  </si>
  <si>
    <t>OccSch_Unoccupied (×4); None (×1)</t>
  </si>
  <si>
    <t>LghSch_Unoccupied (×4); None (×1)</t>
  </si>
  <si>
    <t>EqpSch_Unoccupied (×3); None (×1); EqpSch_Costant (×1)</t>
  </si>
  <si>
    <t>HtnSch_AHU (×4); None (×1)</t>
  </si>
  <si>
    <t>ClnSch_AHU (×4); None (×1)</t>
  </si>
  <si>
    <t>VntSch_AHU (×4); None (×1)</t>
  </si>
  <si>
    <t>OccSch_Unoccupied (×3)</t>
  </si>
  <si>
    <t>LghSch_Unoccupied (×2); LghSch_Costant (×1)</t>
  </si>
  <si>
    <t>EqpSch_Costant (×2); EqpSch_Unoccupied (×1)</t>
  </si>
  <si>
    <t>None (×2); HtnSch_AHU (×1)</t>
  </si>
  <si>
    <t>None (×2); ClnSch_AHU (×1)</t>
  </si>
  <si>
    <t>None (×2); VntSch_AHU (×1)</t>
  </si>
  <si>
    <t>ParkingSpaces:InteriorParkingSpaces</t>
  </si>
  <si>
    <t>15</t>
  </si>
  <si>
    <t>0.01</t>
  </si>
  <si>
    <t>OccSch_Unoccupied (×2); OccSch_A0.1/A0.2 (×1)</t>
  </si>
  <si>
    <t>EqpSch_Costant (×3)</t>
  </si>
  <si>
    <t>None (×3)</t>
  </si>
  <si>
    <t>ProtectiveSpaces:EntryPorch</t>
  </si>
  <si>
    <t>16</t>
  </si>
  <si>
    <t>None (×1)</t>
  </si>
  <si>
    <t>ServiceActivitySpaces:SnackBar</t>
  </si>
  <si>
    <t>4.81128</t>
  </si>
  <si>
    <t>None (×2); Undefined (×1)</t>
  </si>
  <si>
    <t>Zone (E+ Zone.Name)</t>
  </si>
  <si>
    <t>People/Area (person/m²)</t>
  </si>
  <si>
    <t>Lights (W/m²)</t>
  </si>
  <si>
    <t>Lighting schedule – baseline</t>
  </si>
  <si>
    <t>Equipment (W/m²) – baseline</t>
  </si>
  <si>
    <t>Equipment (W/m²) – calibrated</t>
  </si>
  <si>
    <t>OA per person (m³/s·p)</t>
  </si>
  <si>
    <t>OA per floor area (m³/s·m²)</t>
  </si>
  <si>
    <t>OA per floor area (L/s·m²)</t>
  </si>
  <si>
    <t>OA method</t>
  </si>
  <si>
    <t>System availability</t>
  </si>
  <si>
    <t>Heating availability</t>
  </si>
  <si>
    <t>Cooling availability</t>
  </si>
  <si>
    <t>Dehumidification setpoint (%)</t>
  </si>
  <si>
    <t>Humidification setpoint (%)</t>
  </si>
  <si>
    <t>Thermostat heating schedule</t>
  </si>
  <si>
    <t>Thermostat cooling schedule</t>
  </si>
  <si>
    <t>Infiltration (m³/s per m² ext.)</t>
  </si>
  <si>
    <t>N opaque surfaces</t>
  </si>
  <si>
    <t>N fenestration surfaces</t>
  </si>
  <si>
    <t>Maximum</t>
  </si>
  <si>
    <t>Generic room Heating</t>
  </si>
  <si>
    <t>Generic room Cooling</t>
  </si>
  <si>
    <t>VntSch_AHU</t>
  </si>
  <si>
    <t>HtnSch_AHU</t>
  </si>
  <si>
    <t>ClnSch_AHU</t>
  </si>
  <si>
    <t>Category</t>
  </si>
  <si>
    <t>IFC elements with this type</t>
  </si>
  <si>
    <t>N surfaces in IDF</t>
  </si>
  <si>
    <t>Surface types</t>
  </si>
  <si>
    <t>Ground</t>
  </si>
  <si>
    <t>Adiabatic</t>
  </si>
  <si>
    <t>Surface (interzone)</t>
  </si>
  <si>
    <t>Generic Interior Wall</t>
  </si>
  <si>
    <t>Internal partition</t>
  </si>
  <si>
    <t>Wall (×94)</t>
  </si>
  <si>
    <t>Generic Interior Floor</t>
  </si>
  <si>
    <t>Internal floor</t>
  </si>
  <si>
    <t>Wall (×225); Floor (×135)</t>
  </si>
  <si>
    <t>Floor (×1)</t>
  </si>
  <si>
    <t>Wall (×11)</t>
  </si>
  <si>
    <t>Wall (×3)</t>
  </si>
  <si>
    <t>Wall (×13)</t>
  </si>
  <si>
    <t>Wall (×36)</t>
  </si>
  <si>
    <t>Wall (×156)</t>
  </si>
  <si>
    <t>Wall (×54)</t>
  </si>
  <si>
    <t>Wall (×21)</t>
  </si>
  <si>
    <t>Wall (×448)</t>
  </si>
  <si>
    <t>Wall (×255)</t>
  </si>
  <si>
    <t>Wall (×58)</t>
  </si>
  <si>
    <t>Wall (×52)</t>
  </si>
  <si>
    <t>Floor (×46)</t>
  </si>
  <si>
    <t>FL_POLIMI-LC_InternalFloor_IH-IH_Toilet</t>
  </si>
  <si>
    <t>Floor (×28); Wall (×20)</t>
  </si>
  <si>
    <t>Roof (×50); Wall (×2)</t>
  </si>
  <si>
    <t>Wall (×4)</t>
  </si>
  <si>
    <t>Floor (×16); Wall (×4)</t>
  </si>
  <si>
    <t>Wall (×33)</t>
  </si>
  <si>
    <t>Wall (×8)</t>
  </si>
  <si>
    <t>Wall (×37)</t>
  </si>
  <si>
    <t>Wall (×1)</t>
  </si>
  <si>
    <t>Wall (×2)</t>
  </si>
  <si>
    <t>Wall (×78)</t>
  </si>
  <si>
    <t>Wall (×34)</t>
  </si>
  <si>
    <t>Wall (×42)</t>
  </si>
  <si>
    <t>Wall (×7)</t>
  </si>
  <si>
    <t>Floor (×48); Wall (×31)</t>
  </si>
  <si>
    <t>Floor (×13); Wall (×2)</t>
  </si>
  <si>
    <t>Floor (×12); Wall (×10)</t>
  </si>
  <si>
    <t>Roof (×15); Wall (×2)</t>
  </si>
  <si>
    <t>Layer # (outside → inside)</t>
  </si>
  <si>
    <t>Material (E+ name)</t>
  </si>
  <si>
    <t>Material (IFC name)</t>
  </si>
  <si>
    <t>Thickness (m)</t>
  </si>
  <si>
    <t>Conductivity λ (W/m·K)</t>
  </si>
  <si>
    <t>Density ρ (kg/m³)</t>
  </si>
  <si>
    <t>Specific heat c (J/kg·K)</t>
  </si>
  <si>
    <t>Thermal absorptance</t>
  </si>
  <si>
    <t>Solar absorptance</t>
  </si>
  <si>
    <t>Visible absorptance</t>
  </si>
  <si>
    <t>R = d/λ (m²K/W)</t>
  </si>
  <si>
    <t>Generic Gypsum Board</t>
  </si>
  <si>
    <t>MediumSmooth</t>
  </si>
  <si>
    <t>Generic Wall Air Gap</t>
  </si>
  <si>
    <t>Smooth</t>
  </si>
  <si>
    <t>Generic Acoustic Tile</t>
  </si>
  <si>
    <t>Generic Ceiling Air Gap</t>
  </si>
  <si>
    <t>Generic LW Concrete</t>
  </si>
  <si>
    <t>Generic 50mm Insulation</t>
  </si>
  <si>
    <t>Generic HW Concrete</t>
  </si>
  <si>
    <t>dtu_MT_POLIMI_Pannello in alluminio-0.005</t>
  </si>
  <si>
    <t>dtu_MT_POLIMI_Pannello in alluminio</t>
  </si>
  <si>
    <t>dtu_MT_POLIMI_Camera d'aria fortemente ventilata-0.035</t>
  </si>
  <si>
    <t>dtu_MT_POLIMI_Camera d'aria fortemente ventilata</t>
  </si>
  <si>
    <t>dtu_MT_POLIMI_Isolante rigido-0.1</t>
  </si>
  <si>
    <t>dtu_MT_POLIMI_Isolante rigido</t>
  </si>
  <si>
    <t>dtu_MT_POLIMI_Membrana impermeabilizzante-0.005</t>
  </si>
  <si>
    <t>dtu_MT_POLIMI_Membrana impermeabilizzante</t>
  </si>
  <si>
    <t>dtu_MT_POLIMI_Camera d'aria debolmente ventilata-0.265</t>
  </si>
  <si>
    <t>dtu_MT_POLIMI_Camera d'aria debolmente ventilata</t>
  </si>
  <si>
    <t>dtu_MT_POLIMI_CLS-0.425</t>
  </si>
  <si>
    <t>dtu_MT_POLIMI_CLS</t>
  </si>
  <si>
    <t>dtu_MT__POLIMI_Intonaco interno-0.01</t>
  </si>
  <si>
    <t>dtu_MT__POLIMI_Intonaco interno</t>
  </si>
  <si>
    <t>dtu_MT_POLIMI_Isolante rigido-0.06</t>
  </si>
  <si>
    <t>dtu_MT_POLIMI_Camera d'aria debolmente ventilata-0.2</t>
  </si>
  <si>
    <t>dtu_MT_POLIMI_Isolante morbido-0.065</t>
  </si>
  <si>
    <t>dtu_MT_POLIMI_Isolante morbido</t>
  </si>
  <si>
    <t>dtu_MT_POLIMI_Gypsum Board-0.025</t>
  </si>
  <si>
    <t>dtu_MT_POLIMI_Gypsum Board</t>
  </si>
  <si>
    <t>dtu_MT_POLIMI_Camera d'aria fortemente ventilata-0.425</t>
  </si>
  <si>
    <t>dtu_MT_POLIMI_Camera d'aria debolmente ventilata-0.26</t>
  </si>
  <si>
    <t>dtu_MT__POLIMI_Intonaco interno-0.015</t>
  </si>
  <si>
    <t>Calcestruzzo- gettato in opera-0.26</t>
  </si>
  <si>
    <t>Calcestruzzo- gettato in opera</t>
  </si>
  <si>
    <t>dtu_MT_POLIMI_Isolante morbido-0.1</t>
  </si>
  <si>
    <t>dtu_MT_POLIMI_Camera d'aria debolmente ventilata-0.15</t>
  </si>
  <si>
    <t>dtu_MT_POLIMI_Isolante morbido-0.04</t>
  </si>
  <si>
    <t>dtu_MT_POLIMI_Camera d'aria non ventilata-0.065</t>
  </si>
  <si>
    <t>dtu_MT_POLIMI_Camera d'aria non ventilata</t>
  </si>
  <si>
    <t>dtu_MT_POLIMI_Intonaco gesso puro-0.01</t>
  </si>
  <si>
    <t>dtu_MT_POLIMI_Intonaco gesso puro</t>
  </si>
  <si>
    <t>dtu_MT_POLIMI_Piastrelle-0.015</t>
  </si>
  <si>
    <t>dtu_MT_POLIMI_Piastrelle</t>
  </si>
  <si>
    <t>dtu_MT_POLIMI_Pavimento industriale-0.06</t>
  </si>
  <si>
    <t>dtu_MT_POLIMI_Pavimento industriale</t>
  </si>
  <si>
    <t>dtu_MT_POLIMI_Massetto-0.08</t>
  </si>
  <si>
    <t>dtu_MT_POLIMI_Massetto</t>
  </si>
  <si>
    <t>dtu_MT_POLIMI_CLS-0.05</t>
  </si>
  <si>
    <t>dtu_MT_POLIMI_Camera d'aria fortemente ventilata-0.35</t>
  </si>
  <si>
    <t>dtu_MT_POLIMI_Magrone-0.1</t>
  </si>
  <si>
    <t>dtu_MT_POLIMI_Magrone</t>
  </si>
  <si>
    <t>dtu_MT_Ghiaia-0.2</t>
  </si>
  <si>
    <t>dtu_MT_Ghiaia</t>
  </si>
  <si>
    <t>dtu_MT_POLIMI_Piastrelle-0.01</t>
  </si>
  <si>
    <t>dtu_MT_Massetto-0.15</t>
  </si>
  <si>
    <t>dtu_MT_Massetto</t>
  </si>
  <si>
    <t>dtu_MT_Solaio laterocemento-0.15</t>
  </si>
  <si>
    <t>dtu_MT_Solaio laterocemento</t>
  </si>
  <si>
    <t>dtu_MT__POLIMI_Intonaco interno-0.02</t>
  </si>
  <si>
    <t>dtu_MT_POLIMI_Ghiaia-0.08</t>
  </si>
  <si>
    <t>dtu_MT_POLIMI_Ghiaia</t>
  </si>
  <si>
    <t>dtu_MT_POLIMI_Massetto-0.12</t>
  </si>
  <si>
    <t>dtu_MT_POLIMI_Isolante rigido-0.08</t>
  </si>
  <si>
    <t>dtu_MT_POLIMI_CLS-0.25</t>
  </si>
  <si>
    <t>dtu_MT_POLIMI_Camera d'aria non ventilata-0.04</t>
  </si>
  <si>
    <t>dtu_MT_Calcestruzzo armato-0.3</t>
  </si>
  <si>
    <t>dtu_MT_Calcestruzzo armato</t>
  </si>
  <si>
    <t>dtu_MT_POLIMI_Linoleum-0.01</t>
  </si>
  <si>
    <t>dtu_MT_POLIMI_Linoleum</t>
  </si>
  <si>
    <t>Construction (E+)</t>
  </si>
  <si>
    <t>BIM source</t>
  </si>
  <si>
    <t>Layer(s)</t>
  </si>
  <si>
    <t>U-factor (W/m²K)</t>
  </si>
  <si>
    <t>N with external blind</t>
  </si>
  <si>
    <t>Generic Double Pane</t>
  </si>
  <si>
    <t>Generic Low-e Glass / Generic Window Air Gap / Generic Clear Glass</t>
  </si>
  <si>
    <t>IfcWindow / IfcDoor pset</t>
  </si>
  <si>
    <t>windowConstruction_U0.9_SHGC0.67_VT0.8 Material</t>
  </si>
  <si>
    <t>Curtain wall (IfcWall …CurtainWall pset)</t>
  </si>
  <si>
    <t>curtainWallWindowConstruction_U0.9_SHGC0.67_VT0.8 Material</t>
  </si>
  <si>
    <t>windowConstruction_U0.9_SHGC0.67_VT0.58 Material</t>
  </si>
  <si>
    <t>curtainWallWindowConstruction_U0.9_SHGC0.67_VT0.58 Material</t>
  </si>
  <si>
    <t>Family</t>
  </si>
  <si>
    <t>Schedule id (E+ Name)</t>
  </si>
  <si>
    <t>N day schedules</t>
  </si>
  <si>
    <t>N rules</t>
  </si>
  <si>
    <t>Max value</t>
  </si>
  <si>
    <t>E+ object</t>
  </si>
  <si>
    <t>ScheduleTypeLimits</t>
  </si>
  <si>
    <t>B09: references in IDF</t>
  </si>
  <si>
    <t>B10: references in IDF</t>
  </si>
  <si>
    <t>Change in calibrated IDF (Field_1 …)</t>
  </si>
  <si>
    <t>Occupancy</t>
  </si>
  <si>
    <t>Schedules_Occupancy_PoliMi_LC.json</t>
  </si>
  <si>
    <t>Schedule:Compact</t>
  </si>
  <si>
    <t>occupancyScheduleTypeLimit</t>
  </si>
  <si>
    <t>OccSch_B2.1</t>
  </si>
  <si>
    <t>Equipment</t>
  </si>
  <si>
    <t>Schedules_Equipment_PoliMi_LC.json</t>
  </si>
  <si>
    <t>equipmentScheduleTypeLimit</t>
  </si>
  <si>
    <t>EqpSch_B0.1</t>
  </si>
  <si>
    <t>EqpSch_B0.2</t>
  </si>
  <si>
    <t>EqpSch_B0.3</t>
  </si>
  <si>
    <t>EqpSch_B0.4</t>
  </si>
  <si>
    <t>EqpSch_B0.5</t>
  </si>
  <si>
    <t>EqpSch_B0.6</t>
  </si>
  <si>
    <t>EqpSch_B0.7</t>
  </si>
  <si>
    <t>EqpSch_B1.1</t>
  </si>
  <si>
    <t>EqpSch_B1.2</t>
  </si>
  <si>
    <t>EqpSch_B1.3</t>
  </si>
  <si>
    <t>EqpSch_B1.4</t>
  </si>
  <si>
    <t>EqpSch_B1.5</t>
  </si>
  <si>
    <t>EqpSch_B2.1</t>
  </si>
  <si>
    <t>EqpSch_B2.2</t>
  </si>
  <si>
    <t>EqpSch_B2.3</t>
  </si>
  <si>
    <t>EqpSch_B2.4</t>
  </si>
  <si>
    <t>EqpSch_B2.5</t>
  </si>
  <si>
    <t>EqpSch_B2.6</t>
  </si>
  <si>
    <t>Lighting</t>
  </si>
  <si>
    <t>Schedules_Lighting_PoliMi_LC.json</t>
  </si>
  <si>
    <t>lightingScheduleTypeLimit</t>
  </si>
  <si>
    <t>LghSch_B0.1</t>
  </si>
  <si>
    <t>LghSch_B0.2</t>
  </si>
  <si>
    <t>LghSch_B0.3</t>
  </si>
  <si>
    <t>LghSch_B0.4</t>
  </si>
  <si>
    <t>LghSch_B0.5</t>
  </si>
  <si>
    <t>LghSch_B0.6</t>
  </si>
  <si>
    <t>LghSch_B0.7</t>
  </si>
  <si>
    <t>LghSch_B1.1</t>
  </si>
  <si>
    <t>LghSch_B1.2</t>
  </si>
  <si>
    <t>LghSch_B1.3</t>
  </si>
  <si>
    <t>LghSch_B1.4</t>
  </si>
  <si>
    <t>LghSch_B1.5</t>
  </si>
  <si>
    <t>LghSch_B2.1</t>
  </si>
  <si>
    <t>LghSch_B2.2</t>
  </si>
  <si>
    <t>LghSch_B2.3</t>
  </si>
  <si>
    <t>LghSch_B2.4</t>
  </si>
  <si>
    <t>LghSch_B2.5</t>
  </si>
  <si>
    <t>LghSch_B2.6</t>
  </si>
  <si>
    <t>B09: Through: 12/31 , For: AllDays , Until: 07:00 , 0 , Until: 18:00 , 1 , Until: 24:00 , 0 | B10: Through: 12/31 , For: AllDays , Until: 07:00 , 0 , Until: 18:00 , 1 , Until: 24:00 , 0</t>
  </si>
  <si>
    <t>Heating</t>
  </si>
  <si>
    <t>Schedules_Heating_PoliMi_LC.json</t>
  </si>
  <si>
    <t>availabilityScheduleTypeLimit</t>
  </si>
  <si>
    <t>B09: Through: 4/15 , For: AllDays , Until: 7:00 , 1 , Until: 18:00 , 1 , Until: 24:00 , 1 , Through: 12/31 , For: AllDays , Until: 7:00 , 1 , Until: 18:00 , 1 , Until: 24:00 , 1 | B10: Through: 4/15 , For: AllDays , Until: 7:00 , 1 , Until: 18:00 , 1 , Until: 24:00 , 1 , Through: 12/31 , For: AllDays , Until: 7:00 , 1 , Until: 18:00 , 1 , Until: 24:00 , 1</t>
  </si>
  <si>
    <t>Cooling</t>
  </si>
  <si>
    <t>Schedules_Cooling_PoliMi_LC.json</t>
  </si>
  <si>
    <t>B09: Through: 4/16 , For: AllDays , Until: 24:00 , 1 , Through: 10/14 , For: AllDays , Until: 7:00 , 1 , Until: 18:00 , 1 , Until: 24:00 , 1 , Through: 12/31 , For: AllDays , Until: 24:00 , 1 | B10: Through: 4/16 , For: AllDays , Until: 24:00 , 1 , Through: 10/14 , For: AllDays , Until: 7:00 , 1 , Until: 18:00 , 1 , Until: 24:00 , 1 , Through: 12/31 , For: AllDays , Until: 24:00 , 1</t>
  </si>
  <si>
    <t>Ventilation</t>
  </si>
  <si>
    <t>Schedules_Ventilation_PoliMi_LC.json</t>
  </si>
  <si>
    <t>B09: Through: 12/31 , For: AllDays , Until: 7:00 , 1 , Until: 18:00 , 1 , Until: 24:00 , 1 | B10: Through: 12/31 , For: AllDays , Until: 7:00 , 1 , Until: 18:00 , 1 , Until: 24:00 , 1</t>
  </si>
  <si>
    <t>created in notebook</t>
  </si>
  <si>
    <t>B09: Through: 12/31 , For: AllDays , Until: 07:00 , 0 , Until: 18:00 , 1 , Until: 24:00 , 0</t>
  </si>
  <si>
    <t>Availability</t>
  </si>
  <si>
    <t>Severity</t>
  </si>
  <si>
    <t>What the manuscript says</t>
  </si>
  <si>
    <t>What the code / models do</t>
  </si>
  <si>
    <t>Evidence</t>
  </si>
  <si>
    <t>Suggested action</t>
  </si>
  <si>
    <t>Question for the authors</t>
  </si>
  <si>
    <t>Resolution / author decision</t>
  </si>
  <si>
    <t>I01</t>
  </si>
  <si>
    <t>High</t>
  </si>
  <si>
    <t>Table 7 values</t>
  </si>
  <si>
    <t>Assigned values such as 8.0 W/m² LPD, 5.0/8.0 W/m² EPD, 0.80 pp/m² classrooms, 0.10 pp/m² offices, 120 persons 'Room A1.3', 2.5 h⁻¹, 60/40 % RH, 26/24/20/15 °C, 'Eurocode 1 / Class 3'.</t>
  </si>
  <si>
    <t>TBIM/IDF: LPD 6 W/m² (7 office); EPD undefined → 0 (baseline), 2/10 W/m² (calibrated); 0.6 pp/m² lecture halls, 0.3 labs, 0.12 office, 0.8 snack bar; RH 70/40 %; temperatures 26/23/23.5/18 °C (not used); wind class A4.</t>
  </si>
  <si>
    <t>Val_SpaceTypes, Val_Zones</t>
  </si>
  <si>
    <t>Replace the 'Assigned value' column with Val_SpaceTypes (per occupancy type) and mark which values reach the IDF (Map_Spaces 'In IDF?').</t>
  </si>
  <si>
    <t>Where do the current Table 7 values come from (another building, a draft, a standard)? May I replace them with the model values?</t>
  </si>
  <si>
    <t>Author: replace with model values from the CALIBRATED IDF, reported by E+ zone → see T7_Zones / T7_Grouped.</t>
  </si>
  <si>
    <t>I02</t>
  </si>
  <si>
    <t>Table 8 values</t>
  </si>
  <si>
    <t>Construction names ExtWall_PrefabConcrete_12cmIns / Roof_InsulatedSlab / Floor_GroundSlab; U = 0.28 / 0.22 / 0.30 / 0.95 W/m²K.</t>
  </si>
  <si>
    <t>Model constructions are WL_POLIMI-LC_EW01–05, FC300-*, IW01–06, FL_POLIMI-LC_*, RF_POLIMI-LC_IH-E with multilayer IFC material sets; U-values are not read from IFC but computed by E+ from layers.</t>
  </si>
  <si>
    <t>Val_Constructions (U computed), Val_Layers</t>
  </si>
  <si>
    <t>Rebuild Table 8 as one row per construction: name, category, layers (d, λ, ρ, c), computed U.</t>
  </si>
  <si>
    <t>Do you want Table 8 per construction (long) or only the envelope types actually exposed to outdoors (EW*, FC*, RF, FL ground)?</t>
  </si>
  <si>
    <t>Author: list every outer-envelope construction → see T8_Envelope.</t>
  </si>
  <si>
    <t>I03</t>
  </si>
  <si>
    <t>Table 9 values</t>
  </si>
  <si>
    <t>U 1.40, glass U 1.10, SHGC 0.45, VT 0.65, glazing fraction 0.85, 2.80 × 1.50 m, anodised Al with thermal break.</t>
  </si>
  <si>
    <t>IFC/IDF: U 0.9, SHGC 0.67, VT 0.8 (and 0.58 in B10), glass U 1.1, frame U 0.7, aluminium, glazing fraction 0.8 (not used), double glazing; E+ simple glazing model.</t>
  </si>
  <si>
    <t>Map_Apertures, Val_Glazing</t>
  </si>
  <si>
    <t>Replace values; state that only U/SHGC/VT are used (WindowMaterial:SimpleGlazingSystem).</t>
  </si>
  <si>
    <t>Replaced with model values → see T9_Glazing.</t>
  </si>
  <si>
    <t>I04</t>
  </si>
  <si>
    <t>Temperature setpoints</t>
  </si>
  <si>
    <t>Methods: 'Thermal and humidity control data … including temperature and humidity setpoints' are assigned from IFC to IdealLoads.</t>
  </si>
  <si>
    <t>Only humidity setpoints are transferred. Thermostat = HB constant 20/26 °C (baseline); calibrated IDFs use hand-edited schedules (B09 15/18 °C heating, 20 °C cooling; B10 18/22 °C heating, 22 °C cooling). TBIM 18–23.5 / 23–26 °C limits are aggregated but never written.</t>
  </si>
  <si>
    <t>Operation.py:541 HBRoomSetSetpointSchedules; IDF HVACTemplate:Thermostat</t>
  </si>
  <si>
    <t>Either implement the mapping (pr_SpaceTemperatureWinterMin → heating SP, pr_SpaceTemperatureSummerMax → cooling SP) or correct the text.</t>
  </si>
  <si>
    <t>Which setpoints should the paper report: TBIM design values or calibrated operating values?</t>
  </si>
  <si>
    <t>Author: keep the setpoints cited in the paper → T7 reports 20 °C occupied / 15 °C setback heating and 26 °C cooling (Ref_Assumptions C8:C10); calibrated-IDF setpoints kept in T7_Zones columns Y–Z for traceability.</t>
  </si>
  <si>
    <t>I05</t>
  </si>
  <si>
    <t>Medium</t>
  </si>
  <si>
    <t>Equipment power density</t>
  </si>
  <si>
    <t>Table 7 gives 5.0/8.0 W/m².</t>
  </si>
  <si>
    <t>pr_EquipmentPowerDensity = 'Undefined' in every TBIM cell → 0 W/m² in the baseline; calibrated values 2 W/m² (most zones) and 10 W/m² (B10 lecture halls) were typed directly in the IDF.</t>
  </si>
  <si>
    <t>Document the calibrated values as calibration parameters, not BIM inputs.</t>
  </si>
  <si>
    <t>Calibrated EPD (2 / 10 W/m²) reported in T7.</t>
  </si>
  <si>
    <t>I06</t>
  </si>
  <si>
    <t>'Costant' schedules</t>
  </si>
  <si>
    <t>LghSch_Costant and EqpSch_Costant are 0 all year in the baseline IDF, so lights/equipment in zones using them never switch on; calibration changed them to 1 between 07:00 and 18:00.</t>
  </si>
  <si>
    <t>Val_Schedules (column K)</t>
  </si>
  <si>
    <t>Mention in calibration section.</t>
  </si>
  <si>
    <t>I07</t>
  </si>
  <si>
    <t>Mechanical ventilation rate units</t>
  </si>
  <si>
    <t>Table 7: 'given in air changes per hour, h⁻¹'.</t>
  </si>
  <si>
    <t>Code writes pr_MechanicalVentilationRate / 1000 into Outdoor_Air_Flow_per_Zone_Floor_Area (m³/s·m²), i.e. treats it as L/s·m². Restrooms 8 → 0.008 m³/s·m² (28.8 m³/h·m²).</t>
  </si>
  <si>
    <t>Map_Spaces S15; ewi3.1 nb 'Mechanical ventilation rate'</t>
  </si>
  <si>
    <t>Fix unit (ACH → DSOA 'Outdoor_Air_Flow_Air_Changes_per_Hour') or relabel the TBIM property.</t>
  </si>
  <si>
    <t>Is pr_MechanicalVentilationRate in h⁻¹ or in L/s·m²?</t>
  </si>
  <si>
    <t>Resolved by comparison with standard rates: pr_MechanicalVentilationRate is an air-change rate (h⁻¹) = N_peak × 7 L/s·p × 3.6 / V_net (e.g. 88 × 25.2 / 421.26 = 5.264 h⁻¹ stored as 5.26421); restrooms 8 h⁻¹ and stairs 1 h⁻¹ are UNI 10339-type extraction rates. The workflow error (h⁻¹ read as L/s·m²) scales by room height / 3.6 m (≈ 1.1 for 3.9–4 m rooms). Superseded in T7 by the EN 16798 values.</t>
  </si>
  <si>
    <t>I08</t>
  </si>
  <si>
    <t>Zone aggregation bug</t>
  </si>
  <si>
    <t>Methods: 'aggregation functions are applied to transfer energy-related parameters from cells to zones'.</t>
  </si>
  <si>
    <t>Utils.TopologicZoneInheritSpaceData computes prevalent schedules (rl_ZoneIsScheduledBy_*) and a volume-weighted ventilation rate, but stores the LAST cell's rl_IsScheduledBy_* and pr_MechanicalVentilationRate instead (Operation.py:170–175).</t>
  </si>
  <si>
    <t>Operation.py:169–176</t>
  </si>
  <si>
    <t>Use pr_ZoneMechanicalVentilationRate and rl_ZoneIsScheduledBy_* in zoneDictValues.</t>
  </si>
  <si>
    <t>I09</t>
  </si>
  <si>
    <t>Table 7 / methods: 0.30 h⁻¹ baseline infiltration; 'pure infiltration at 0.3 ACH' at night.</t>
  </si>
  <si>
    <t>ZoneInfiltration:DesignFlowRate, Flow/ExteriorArea = 0.0001 m³/s·m² ('TightBuilding'), schedule 'Generic Office Infiltration' from the HB office program.</t>
  </si>
  <si>
    <t>Map_Model M09</t>
  </si>
  <si>
    <t>Align text or model.</t>
  </si>
  <si>
    <t>Which value was used for the results in the paper?</t>
  </si>
  <si>
    <t>Author: EN 16798 / Methods values are the reference → T7 reports 0.30 h⁻¹ (Ref_Assumptions); the repository IDF value is kept for traceability.</t>
  </si>
  <si>
    <t>I10</t>
  </si>
  <si>
    <t>Outdoor air</t>
  </si>
  <si>
    <t>10 L/s·person + 0.6 L/s·m², EN 16798-1 Cat. II, AHU caps 11 000 / 7 200 m³/h, zero OA at night.</t>
  </si>
  <si>
    <t>7 L/s·person (0.007 m³/s), per-area = TBIM rate/1000, method 'Maximum' (not sum), ventilation availability VntSch_AHU 07–18 h (baseline) / always on (calibrated), ideal-loads capacity autosized (no caps).</t>
  </si>
  <si>
    <t>Map_Spaces S15–S16, S31; Map_Model M07</t>
  </si>
  <si>
    <t>Were the EN 16798 values applied in a later model version not in WP3/_models?</t>
  </si>
  <si>
    <t>Author: keep the values already reported in the paper (10 L/s·p, 0.6 L/s·m², EN 16798-1 Cat. II as stated, 0 OA when unoccupied, AHU caps) → Ref_Assumptions.</t>
  </si>
  <si>
    <t>I11</t>
  </si>
  <si>
    <t>Doors</t>
  </si>
  <si>
    <t>Methods: IfcDoorType → HB Door objects.</t>
  </si>
  <si>
    <t>Doors are converted into glazed HB Apertures with a window construction; HB/E+ Door objects are never created, and only 1 door (B09) / 3 doors (B10) reach the IDF because apertures on curtain-wall or adiabatic faces are discarded. In B09, 23 curtain-wall apertures keep HB 'Generic Double Pane': their TBIM VT is 0.58 but the B09 IFC only defines VT 0.8, so the construction 'curtainWallWindowConstruction_U0.9_SHGC0.67_VT0.58' is never created. Glazing data are read from instance psets, not types.</t>
  </si>
  <si>
    <t>Map_Apertures A01, Val_Glazing</t>
  </si>
  <si>
    <t>Correct text or map opaque doors to HB Door + OpaqueConstruction.</t>
  </si>
  <si>
    <t>Should the 23 B09 curtain-wall panels use the VT 0.58 construction (as in the TBIM) instead of the HB default?</t>
  </si>
  <si>
    <t>Author: in Table 9 only, the 23 B09 curtain-wall panels are reported with their BIM glazing (U 0.9, SHGC 0.67, VT 0.58); the IDF still uses HB Generic Double Pane.</t>
  </si>
  <si>
    <t>I12</t>
  </si>
  <si>
    <t>Low</t>
  </si>
  <si>
    <t>IfcRoofType carries no material layers; RF_POLIMI-LC_IH-E is typed in the notebook and also used for faces typed RF_POLIMI-LC_INH-E (B09).</t>
  </si>
  <si>
    <t>Map_Envelope E14</t>
  </si>
  <si>
    <t>State this in the text.</t>
  </si>
  <si>
    <t>I13</t>
  </si>
  <si>
    <t>HB defaults with US conventions</t>
  </si>
  <si>
    <t>Holidays 1/1 and 4/7, DST 12/3–5/11, office program (SHW 0.1 L/h·m², seated activity) come from HB defaults.</t>
  </si>
  <si>
    <t>Map_Model M06, M10, M16</t>
  </si>
  <si>
    <t>Set Italian holidays/DST or mention.</t>
  </si>
  <si>
    <t>I14</t>
  </si>
  <si>
    <t>Timestep / run period</t>
  </si>
  <si>
    <t>Baseline IDF timestep 6 (the nb line meant to set 4 is ineffective); calibrated IDF 4. Run period forced to 1/1–31/12/2024 at run time, while the paper's monitoring period is 1/2/2024–31/1/2025.</t>
  </si>
  <si>
    <t>Map_Model M14–M15</t>
  </si>
  <si>
    <t>Report the run period used for calibration.</t>
  </si>
  <si>
    <t>Which EPW was used for calibration: Lecco_IT-hour.epw (in repo) or the on-site station file described in the paper?</t>
  </si>
  <si>
    <t>I15</t>
  </si>
  <si>
    <t>Exposed interior partitions</t>
  </si>
  <si>
    <t>Cells excluded from the BEM (notUsefullCellUIDs) leave their neighbours' partitions as 'Outdoors' surfaces (e.g. B09: 135 IW03, 21 IW06 faces).</t>
  </si>
  <si>
    <t>Val_Constructions (Outdoors column)</t>
  </si>
  <si>
    <t>Mention as a modelling simplification or set them adiabatic.</t>
  </si>
  <si>
    <t>I16</t>
  </si>
  <si>
    <t>Air cavities</t>
  </si>
  <si>
    <t>Ventilated/unventilated cavities are written as massive Material layers (λ 0.285–1.0 W/m·K, ρ 1 kg/m³) instead of Material:AirGap or outer-layer removal.</t>
  </si>
  <si>
    <t>Val_Layers</t>
  </si>
  <si>
    <t>Mention or switch to Material:AirGap.</t>
  </si>
  <si>
    <t>I17</t>
  </si>
  <si>
    <t>B09 zoned TBIM</t>
  </si>
  <si>
    <t>DigitMan_Model_POLIMI-Edificio09_Topologic-withZones.json does not match the B09 IDF zones (IDF has zone12-0/1/2, zone50, debugZone0–11 not present in the JSON), so a cell → zone table cannot be rebuilt reliably for B09.</t>
  </si>
  <si>
    <t>WP3/_models</t>
  </si>
  <si>
    <t>Re-export the zoned TBIM from the run that produced the IDF.</t>
  </si>
  <si>
    <t>Do you want a cell → zone membership table added (B10 only, or after re-running B09)?</t>
  </si>
  <si>
    <t>Author: use E+ zones as reference → T7_Zones is indexed by E+ Zone name; no cell → zone table.</t>
  </si>
  <si>
    <t>I18</t>
  </si>
  <si>
    <t>Fallback constructions</t>
  </si>
  <si>
    <t>Faces whose type has no thermal layers (WL_VirtualWall, the opaque ≈19 % of curtain-wall faces, FL_VirtualFloor) keep HB defaults; 'Generic Exterior Wall' is then replaced by WL_POLIMI-LC_EW02 (B09: 156 surfaces vs 9 IFC walls of that type) and 'Generic Interior Wall/Floor' stay as HB generic layers (B09: 94 + 360 surfaces).</t>
  </si>
  <si>
    <t>Val_Constructions (columns E vs L)</t>
  </si>
  <si>
    <t>Mention in the text; consider an explicit construction for virtual and curtain-wall spandrel faces.</t>
  </si>
  <si>
    <t>I19</t>
  </si>
  <si>
    <t>Outdoor air vs AHU capacity</t>
  </si>
  <si>
    <t>Methods: 10 L/s·p + 0.6 L/s·m², bounded by AHU capacity 7 200 m³/h (B09) and 11 000 m³/h (B10).</t>
  </si>
  <si>
    <t>With the E+ zone areas and People densities of the calibrated IDFs, design outdoor air (sum of per-person and per-area terms, all ventilated zones at full occupancy) is ≈ 94 500 m³/h for B09 (≈ 13 × AHU capacity) and ≈ 46 100 m³/h for B10 (≈ 4 ×). The AHU cap therefore governs at peak, giving ≈ 0.8 (B09) and ≈ 2.4 (B10) L/s·person effective.</t>
  </si>
  <si>
    <t>Ref_Assumptions C12:C15 (live); T7_Zones column U</t>
  </si>
  <si>
    <t>State that the cap binds at peak occupancy, or report the real occupancy / diversity used.</t>
  </si>
  <si>
    <t>Is the AHU capacity applied to the sum of all zones (one AHU per building) and are design densities (0.6 pp/m² in lecture halls) the intended peak?</t>
  </si>
  <si>
    <t>Author: keep the values already reported in the paper (no change). AHU check kept in Ref_Assumptions C12:C15 for information.</t>
  </si>
  <si>
    <t>I20</t>
  </si>
  <si>
    <t>Calibrated setpoints</t>
  </si>
  <si>
    <t>Calibrated IDFs: heating and cooling availability always on; B09 heating 18 °C (07–18 h) / 15 °C, cooling 20 °C all day; B10 heating 22 °C (07–18 h) / 18 °C, cooling 22 °C all day → zero dead-band in occupied hours, so ideal loads may heat and cool in the same day.</t>
  </si>
  <si>
    <t>T7_Zones columns L–N; Val_Schedules</t>
  </si>
  <si>
    <t>Confirm these are the intended calibrated setpoints before publishing them in Table 7.</t>
  </si>
  <si>
    <t>Are the calibrated cooling setpoints (20 °C B09, 22 °C B10) intentional?</t>
  </si>
  <si>
    <t>Author: Table 7 reports the setpoints cited in the paper; the calibrated IDF values are not reported in the Appendix.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</si>
</sst>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5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sz val="9"/>
      <color rgb="FF008000"/>
      <name val="Arial"/>
    </font>
    <font>
      <sz val="9"/>
      <color rgb="FF0000FF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FFE699"/>
      </patternFill>
    </fill>
    <fill>
      <patternFill patternType="solid">
        <fgColor rgb="FFDDEBF7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3" fontId="2" fillId="0" borderId="1" xfId="0" applyNumberFormat="1" applyFont="1" applyBorder="1" applyAlignment="1">
      <alignment vertical="top" wrapText="1"/>
    </xf>
    <xf numFmtId="2" fontId="2" fillId="0" borderId="1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66" fontId="2" fillId="0" borderId="1" xfId="0" applyNumberFormat="1" applyFont="1" applyBorder="1" applyAlignment="1">
      <alignment vertical="top" wrapText="1"/>
    </xf>
    <xf numFmtId="1" fontId="2" fillId="0" borderId="1" xfId="0" applyNumberFormat="1" applyFont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164" fontId="2" fillId="0" borderId="1" xfId="0" applyNumberFormat="1" applyFont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26" customWidth="1"/>
    <col min="2" max="2" width="150" customWidth="1"/>
  </cols>
  <sheetData>
    <row r="1" spans="1:2" x14ac:dyDescent="0.45">
      <c r="A1" s="1" t="s">
        <v>0</v>
      </c>
      <c r="B1" s="1" t="s">
        <v>1</v>
      </c>
    </row>
    <row r="2" spans="1:2" ht="23.25" x14ac:dyDescent="0.45">
      <c r="A2" s="2" t="s">
        <v>2</v>
      </c>
      <c r="B2" s="2" t="s">
        <v>3</v>
      </c>
    </row>
    <row r="3" spans="1:2" ht="23.25" x14ac:dyDescent="0.45">
      <c r="A3" s="2" t="s">
        <v>4</v>
      </c>
      <c r="B3" s="2" t="s">
        <v>5</v>
      </c>
    </row>
    <row r="4" spans="1:2" ht="23.25" x14ac:dyDescent="0.45">
      <c r="A4" s="2" t="s">
        <v>6</v>
      </c>
      <c r="B4" s="2" t="s">
        <v>7</v>
      </c>
    </row>
    <row r="5" spans="1:2" ht="34.9" x14ac:dyDescent="0.45">
      <c r="A5" s="2" t="s">
        <v>8</v>
      </c>
      <c r="B5" s="2" t="s">
        <v>9</v>
      </c>
    </row>
    <row r="6" spans="1:2" x14ac:dyDescent="0.45">
      <c r="A6" s="2" t="s">
        <v>10</v>
      </c>
      <c r="B6" s="2" t="s">
        <v>11</v>
      </c>
    </row>
    <row r="7" spans="1:2" x14ac:dyDescent="0.45">
      <c r="A7" s="2" t="s">
        <v>12</v>
      </c>
      <c r="B7" s="2" t="s">
        <v>13</v>
      </c>
    </row>
    <row r="8" spans="1:2" x14ac:dyDescent="0.45">
      <c r="A8" s="2" t="s">
        <v>14</v>
      </c>
      <c r="B8" s="2" t="s">
        <v>15</v>
      </c>
    </row>
    <row r="9" spans="1:2" x14ac:dyDescent="0.45">
      <c r="A9" s="2" t="s">
        <v>16</v>
      </c>
      <c r="B9" s="2" t="s">
        <v>17</v>
      </c>
    </row>
    <row r="10" spans="1:2" x14ac:dyDescent="0.45">
      <c r="A10" s="2" t="s">
        <v>18</v>
      </c>
      <c r="B10" s="2" t="s">
        <v>19</v>
      </c>
    </row>
    <row r="11" spans="1:2" x14ac:dyDescent="0.45">
      <c r="A11" s="2" t="s">
        <v>20</v>
      </c>
      <c r="B11" s="2" t="s">
        <v>21</v>
      </c>
    </row>
    <row r="12" spans="1:2" x14ac:dyDescent="0.45">
      <c r="A12" s="2" t="s">
        <v>22</v>
      </c>
      <c r="B12" s="2" t="s">
        <v>23</v>
      </c>
    </row>
    <row r="13" spans="1:2" x14ac:dyDescent="0.45">
      <c r="A13" s="2" t="s">
        <v>24</v>
      </c>
      <c r="B13" s="2" t="s">
        <v>25</v>
      </c>
    </row>
    <row r="14" spans="1:2" x14ac:dyDescent="0.45">
      <c r="A14" s="2" t="s">
        <v>26</v>
      </c>
      <c r="B14" s="2" t="s">
        <v>27</v>
      </c>
    </row>
    <row r="15" spans="1:2" x14ac:dyDescent="0.45">
      <c r="A15" s="2" t="s">
        <v>28</v>
      </c>
      <c r="B15" s="2" t="s">
        <v>29</v>
      </c>
    </row>
    <row r="16" spans="1:2" ht="23.25" x14ac:dyDescent="0.45">
      <c r="A16" s="2" t="s">
        <v>30</v>
      </c>
      <c r="B16" s="2" t="s">
        <v>31</v>
      </c>
    </row>
    <row r="17" spans="1:2" x14ac:dyDescent="0.45">
      <c r="A17" s="2" t="s">
        <v>32</v>
      </c>
      <c r="B17" s="2" t="s">
        <v>33</v>
      </c>
    </row>
    <row r="18" spans="1:2" x14ac:dyDescent="0.45">
      <c r="A18" s="2" t="s">
        <v>34</v>
      </c>
      <c r="B18" s="2" t="s">
        <v>35</v>
      </c>
    </row>
    <row r="19" spans="1:2" x14ac:dyDescent="0.45">
      <c r="A19" s="2" t="s">
        <v>36</v>
      </c>
      <c r="B19" s="2" t="s">
        <v>37</v>
      </c>
    </row>
    <row r="20" spans="1:2" x14ac:dyDescent="0.45">
      <c r="A20" s="2" t="s">
        <v>38</v>
      </c>
      <c r="B20" s="2" t="s">
        <v>39</v>
      </c>
    </row>
    <row r="21" spans="1:2" x14ac:dyDescent="0.45">
      <c r="A21" s="2" t="s">
        <v>40</v>
      </c>
      <c r="B21" s="2" t="s">
        <v>41</v>
      </c>
    </row>
    <row r="22" spans="1:2" x14ac:dyDescent="0.45">
      <c r="A22" s="2" t="s">
        <v>42</v>
      </c>
      <c r="B22" s="2" t="s">
        <v>43</v>
      </c>
    </row>
    <row r="23" spans="1:2" x14ac:dyDescent="0.45">
      <c r="A23" s="2" t="s">
        <v>44</v>
      </c>
      <c r="B23" s="2" t="s">
        <v>45</v>
      </c>
    </row>
    <row r="24" spans="1:2" x14ac:dyDescent="0.45">
      <c r="A24" s="2" t="s">
        <v>46</v>
      </c>
      <c r="B24" s="2" t="s">
        <v>47</v>
      </c>
    </row>
    <row r="25" spans="1:2" x14ac:dyDescent="0.45">
      <c r="A25" s="2" t="s">
        <v>48</v>
      </c>
      <c r="B25" s="2" t="s">
        <v>49</v>
      </c>
    </row>
  </sheetData>
  <autoFilter ref="A1:B25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8" customWidth="1"/>
    <col min="2" max="2" width="46" customWidth="1"/>
    <col min="3" max="3" width="10" customWidth="1"/>
    <col min="4" max="4" width="12" customWidth="1"/>
    <col min="5" max="5" width="100" customWidth="1"/>
  </cols>
  <sheetData>
    <row r="1" spans="1:5" x14ac:dyDescent="0.45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</row>
    <row r="2" spans="1:5" x14ac:dyDescent="0.45">
      <c r="A2" s="2" t="s">
        <v>55</v>
      </c>
      <c r="B2" s="2" t="s">
        <v>56</v>
      </c>
      <c r="C2" s="3">
        <v>10</v>
      </c>
      <c r="D2" s="2" t="s">
        <v>57</v>
      </c>
      <c r="E2" s="2" t="s">
        <v>58</v>
      </c>
    </row>
    <row r="3" spans="1:5" x14ac:dyDescent="0.45">
      <c r="A3" s="2" t="s">
        <v>59</v>
      </c>
      <c r="B3" s="2" t="s">
        <v>60</v>
      </c>
      <c r="C3" s="3">
        <v>0.6</v>
      </c>
      <c r="D3" s="2" t="s">
        <v>61</v>
      </c>
      <c r="E3" s="2" t="s">
        <v>62</v>
      </c>
    </row>
    <row r="4" spans="1:5" x14ac:dyDescent="0.45">
      <c r="A4" s="2" t="s">
        <v>63</v>
      </c>
      <c r="B4" s="2" t="s">
        <v>64</v>
      </c>
      <c r="C4" s="3">
        <v>0</v>
      </c>
      <c r="D4" s="2" t="s">
        <v>65</v>
      </c>
      <c r="E4" s="2" t="s">
        <v>66</v>
      </c>
    </row>
    <row r="5" spans="1:5" x14ac:dyDescent="0.45">
      <c r="A5" s="2" t="s">
        <v>67</v>
      </c>
      <c r="B5" s="2" t="s">
        <v>68</v>
      </c>
      <c r="C5" s="3">
        <v>0.3</v>
      </c>
      <c r="D5" s="2" t="s">
        <v>69</v>
      </c>
      <c r="E5" s="2" t="s">
        <v>70</v>
      </c>
    </row>
    <row r="6" spans="1:5" x14ac:dyDescent="0.45">
      <c r="A6" s="2" t="s">
        <v>71</v>
      </c>
      <c r="B6" s="2" t="s">
        <v>72</v>
      </c>
      <c r="C6" s="3">
        <v>7200</v>
      </c>
      <c r="D6" s="2" t="s">
        <v>73</v>
      </c>
      <c r="E6" s="2" t="s">
        <v>74</v>
      </c>
    </row>
    <row r="7" spans="1:5" x14ac:dyDescent="0.45">
      <c r="A7" s="2" t="s">
        <v>75</v>
      </c>
      <c r="B7" s="2" t="s">
        <v>76</v>
      </c>
      <c r="C7" s="3">
        <v>11000</v>
      </c>
      <c r="D7" s="2" t="s">
        <v>73</v>
      </c>
      <c r="E7" s="2" t="s">
        <v>74</v>
      </c>
    </row>
    <row r="8" spans="1:5" ht="23.25" x14ac:dyDescent="0.45">
      <c r="A8" s="2" t="s">
        <v>77</v>
      </c>
      <c r="B8" s="2" t="s">
        <v>78</v>
      </c>
      <c r="C8" s="3">
        <v>20</v>
      </c>
      <c r="D8" s="2" t="s">
        <v>79</v>
      </c>
      <c r="E8" s="2" t="s">
        <v>80</v>
      </c>
    </row>
    <row r="9" spans="1:5" x14ac:dyDescent="0.45">
      <c r="A9" s="2" t="s">
        <v>81</v>
      </c>
      <c r="B9" s="2" t="s">
        <v>82</v>
      </c>
      <c r="C9" s="3">
        <v>15</v>
      </c>
      <c r="D9" s="2" t="s">
        <v>79</v>
      </c>
      <c r="E9" s="2" t="s">
        <v>83</v>
      </c>
    </row>
    <row r="10" spans="1:5" x14ac:dyDescent="0.45">
      <c r="A10" s="2" t="s">
        <v>84</v>
      </c>
      <c r="B10" s="2" t="s">
        <v>85</v>
      </c>
      <c r="C10" s="3">
        <v>26</v>
      </c>
      <c r="D10" s="2" t="s">
        <v>79</v>
      </c>
      <c r="E10" s="2" t="s">
        <v>86</v>
      </c>
    </row>
    <row r="12" spans="1:5" x14ac:dyDescent="0.45">
      <c r="A12" s="2" t="s">
        <v>87</v>
      </c>
      <c r="B12" s="2" t="s">
        <v>88</v>
      </c>
      <c r="C12" s="4">
        <f>SUMIFS(T7_Zones!$U$2:$U$86,T7_Zones!$A$2:$A$86,"B09")</f>
        <v>94453.79760000002</v>
      </c>
      <c r="D12" s="2" t="s">
        <v>73</v>
      </c>
      <c r="E12" s="2" t="s">
        <v>89</v>
      </c>
    </row>
    <row r="13" spans="1:5" x14ac:dyDescent="0.45">
      <c r="A13" s="2" t="s">
        <v>87</v>
      </c>
      <c r="B13" s="2" t="s">
        <v>90</v>
      </c>
      <c r="C13" s="4">
        <f>SUMIFS(T7_Zones!$U$2:$U$86,T7_Zones!$A$2:$A$86,"B10")</f>
        <v>46054.224000000002</v>
      </c>
      <c r="D13" s="2" t="s">
        <v>73</v>
      </c>
      <c r="E13" s="2" t="s">
        <v>91</v>
      </c>
    </row>
    <row r="14" spans="1:5" x14ac:dyDescent="0.45">
      <c r="A14" s="2" t="s">
        <v>87</v>
      </c>
      <c r="B14" s="2" t="s">
        <v>92</v>
      </c>
      <c r="C14" s="5">
        <f>C12/C6</f>
        <v>13.118583000000003</v>
      </c>
      <c r="D14" s="2" t="s">
        <v>93</v>
      </c>
      <c r="E14" s="2" t="s">
        <v>94</v>
      </c>
    </row>
    <row r="15" spans="1:5" x14ac:dyDescent="0.45">
      <c r="A15" s="2" t="s">
        <v>87</v>
      </c>
      <c r="B15" s="2" t="s">
        <v>95</v>
      </c>
      <c r="C15" s="5">
        <f>C13/C7</f>
        <v>4.1867476363636369</v>
      </c>
      <c r="D15" s="2" t="s">
        <v>93</v>
      </c>
      <c r="E15" s="2" t="s">
        <v>94</v>
      </c>
    </row>
  </sheetData>
  <autoFilter ref="A1:E10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12" customWidth="1"/>
    <col min="3" max="3" width="30" customWidth="1"/>
    <col min="4" max="6" width="10" customWidth="1"/>
    <col min="7" max="7" width="18" customWidth="1"/>
    <col min="8" max="8" width="10" customWidth="1"/>
    <col min="9" max="9" width="18" customWidth="1"/>
    <col min="10" max="10" width="10" customWidth="1"/>
    <col min="11" max="11" width="18" customWidth="1"/>
    <col min="12" max="16" width="9" customWidth="1"/>
    <col min="17" max="17" width="22" customWidth="1"/>
    <col min="18" max="18" width="9" customWidth="1"/>
    <col min="19" max="20" width="10" customWidth="1"/>
    <col min="21" max="21" width="11" customWidth="1"/>
    <col min="22" max="22" width="10" customWidth="1"/>
    <col min="23" max="24" width="11" customWidth="1"/>
    <col min="25" max="25" width="14" customWidth="1"/>
    <col min="26" max="26" width="11" customWidth="1"/>
  </cols>
  <sheetData>
    <row r="1" spans="1:26" ht="65.650000000000006" x14ac:dyDescent="0.45">
      <c r="A1" s="1" t="s">
        <v>96</v>
      </c>
      <c r="B1" s="1" t="s">
        <v>97</v>
      </c>
      <c r="C1" s="1" t="s">
        <v>98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106</v>
      </c>
      <c r="L1" s="1" t="s">
        <v>107</v>
      </c>
      <c r="M1" s="1" t="s">
        <v>108</v>
      </c>
      <c r="N1" s="1" t="s">
        <v>109</v>
      </c>
      <c r="O1" s="1" t="s">
        <v>110</v>
      </c>
      <c r="P1" s="1" t="s">
        <v>111</v>
      </c>
      <c r="Q1" s="1" t="s">
        <v>112</v>
      </c>
      <c r="R1" s="1" t="s">
        <v>113</v>
      </c>
      <c r="S1" s="1" t="s">
        <v>114</v>
      </c>
      <c r="T1" s="1" t="s">
        <v>115</v>
      </c>
      <c r="U1" s="1" t="s">
        <v>116</v>
      </c>
      <c r="V1" s="1" t="s">
        <v>117</v>
      </c>
      <c r="W1" s="1" t="s">
        <v>118</v>
      </c>
      <c r="X1" s="1" t="s">
        <v>119</v>
      </c>
      <c r="Y1" s="1" t="s">
        <v>120</v>
      </c>
      <c r="Z1" s="1" t="s">
        <v>121</v>
      </c>
    </row>
    <row r="2" spans="1:26" ht="23.25" x14ac:dyDescent="0.45">
      <c r="A2" s="2" t="s">
        <v>122</v>
      </c>
      <c r="B2" s="2" t="s">
        <v>123</v>
      </c>
      <c r="C2" s="2" t="s">
        <v>124</v>
      </c>
      <c r="D2" s="2">
        <v>83.06</v>
      </c>
      <c r="E2" s="2">
        <v>0</v>
      </c>
      <c r="F2" s="6">
        <f t="shared" ref="F2:F33" si="0">D2*E2</f>
        <v>0</v>
      </c>
      <c r="G2" s="2" t="s">
        <v>125</v>
      </c>
      <c r="H2" s="2">
        <v>6</v>
      </c>
      <c r="I2" s="2" t="s">
        <v>126</v>
      </c>
      <c r="J2" s="2">
        <v>2</v>
      </c>
      <c r="K2" s="2" t="s">
        <v>127</v>
      </c>
      <c r="L2" s="7" t="str">
        <f>IF(R2="Yes",Ref_Assumptions!$C$8,"–")</f>
        <v>–</v>
      </c>
      <c r="M2" s="7" t="str">
        <f>IF(R2="Yes",Ref_Assumptions!$C$9,"–")</f>
        <v>–</v>
      </c>
      <c r="N2" s="7" t="str">
        <f>IF(R2="Yes",Ref_Assumptions!$C$10,"–")</f>
        <v>–</v>
      </c>
      <c r="O2" s="2">
        <v>70</v>
      </c>
      <c r="P2" s="2">
        <v>40</v>
      </c>
      <c r="Q2" s="2" t="s">
        <v>128</v>
      </c>
      <c r="R2" s="2" t="s">
        <v>129</v>
      </c>
      <c r="S2" s="7">
        <f>IF(R2="Yes",Ref_Assumptions!$C$2,Ref_Assumptions!$C$4)</f>
        <v>0</v>
      </c>
      <c r="T2" s="7">
        <f>IF(R2="Yes",Ref_Assumptions!$C$3,Ref_Assumptions!$C$4)</f>
        <v>0</v>
      </c>
      <c r="U2" s="4">
        <f t="shared" ref="U2:U33" si="1">(F2*S2+D2*T2)*3.6</f>
        <v>0</v>
      </c>
      <c r="V2" s="7">
        <f>Ref_Assumptions!$C$5</f>
        <v>0.3</v>
      </c>
      <c r="W2" s="2">
        <v>0</v>
      </c>
      <c r="X2" s="2">
        <v>0</v>
      </c>
      <c r="Y2" s="2" t="s">
        <v>130</v>
      </c>
      <c r="Z2" s="2">
        <v>20</v>
      </c>
    </row>
    <row r="3" spans="1:26" ht="23.25" x14ac:dyDescent="0.45">
      <c r="A3" s="2" t="s">
        <v>122</v>
      </c>
      <c r="B3" s="2" t="s">
        <v>131</v>
      </c>
      <c r="C3" s="2" t="s">
        <v>124</v>
      </c>
      <c r="D3" s="2">
        <v>83.06</v>
      </c>
      <c r="E3" s="2">
        <v>0</v>
      </c>
      <c r="F3" s="6">
        <f t="shared" si="0"/>
        <v>0</v>
      </c>
      <c r="G3" s="2" t="s">
        <v>125</v>
      </c>
      <c r="H3" s="2">
        <v>6</v>
      </c>
      <c r="I3" s="2" t="s">
        <v>126</v>
      </c>
      <c r="J3" s="2">
        <v>2</v>
      </c>
      <c r="K3" s="2" t="s">
        <v>127</v>
      </c>
      <c r="L3" s="7" t="str">
        <f>IF(R3="Yes",Ref_Assumptions!$C$8,"–")</f>
        <v>–</v>
      </c>
      <c r="M3" s="7" t="str">
        <f>IF(R3="Yes",Ref_Assumptions!$C$9,"–")</f>
        <v>–</v>
      </c>
      <c r="N3" s="7" t="str">
        <f>IF(R3="Yes",Ref_Assumptions!$C$10,"–")</f>
        <v>–</v>
      </c>
      <c r="O3" s="2">
        <v>70</v>
      </c>
      <c r="P3" s="2">
        <v>40</v>
      </c>
      <c r="Q3" s="2" t="s">
        <v>128</v>
      </c>
      <c r="R3" s="2" t="s">
        <v>129</v>
      </c>
      <c r="S3" s="7">
        <f>IF(R3="Yes",Ref_Assumptions!$C$2,Ref_Assumptions!$C$4)</f>
        <v>0</v>
      </c>
      <c r="T3" s="7">
        <f>IF(R3="Yes",Ref_Assumptions!$C$3,Ref_Assumptions!$C$4)</f>
        <v>0</v>
      </c>
      <c r="U3" s="4">
        <f t="shared" si="1"/>
        <v>0</v>
      </c>
      <c r="V3" s="7">
        <f>Ref_Assumptions!$C$5</f>
        <v>0.3</v>
      </c>
      <c r="W3" s="2">
        <v>0</v>
      </c>
      <c r="X3" s="2">
        <v>0</v>
      </c>
      <c r="Y3" s="2" t="s">
        <v>130</v>
      </c>
      <c r="Z3" s="2">
        <v>20</v>
      </c>
    </row>
    <row r="4" spans="1:26" ht="23.25" x14ac:dyDescent="0.45">
      <c r="A4" s="2" t="s">
        <v>122</v>
      </c>
      <c r="B4" s="2" t="s">
        <v>132</v>
      </c>
      <c r="C4" s="2" t="s">
        <v>133</v>
      </c>
      <c r="D4" s="2">
        <v>37.39</v>
      </c>
      <c r="E4" s="2">
        <v>0.3</v>
      </c>
      <c r="F4" s="6">
        <f t="shared" si="0"/>
        <v>11.217000000000001</v>
      </c>
      <c r="G4" s="2" t="s">
        <v>125</v>
      </c>
      <c r="H4" s="2">
        <v>6</v>
      </c>
      <c r="I4" s="2" t="s">
        <v>126</v>
      </c>
      <c r="J4" s="2">
        <v>2</v>
      </c>
      <c r="K4" s="2" t="s">
        <v>127</v>
      </c>
      <c r="L4" s="7">
        <f>IF(R4="Yes",Ref_Assumptions!$C$8,"–")</f>
        <v>20</v>
      </c>
      <c r="M4" s="7">
        <f>IF(R4="Yes",Ref_Assumptions!$C$9,"–")</f>
        <v>15</v>
      </c>
      <c r="N4" s="7">
        <f>IF(R4="Yes",Ref_Assumptions!$C$10,"–")</f>
        <v>26</v>
      </c>
      <c r="O4" s="2">
        <v>70</v>
      </c>
      <c r="P4" s="2">
        <v>40</v>
      </c>
      <c r="Q4" s="2" t="s">
        <v>134</v>
      </c>
      <c r="R4" s="2" t="s">
        <v>135</v>
      </c>
      <c r="S4" s="7">
        <f>IF(R4="Yes",Ref_Assumptions!$C$2,Ref_Assumptions!$C$4)</f>
        <v>10</v>
      </c>
      <c r="T4" s="7">
        <f>IF(R4="Yes",Ref_Assumptions!$C$3,Ref_Assumptions!$C$4)</f>
        <v>0.6</v>
      </c>
      <c r="U4" s="4">
        <f t="shared" si="1"/>
        <v>484.57440000000008</v>
      </c>
      <c r="V4" s="7">
        <f>Ref_Assumptions!$C$5</f>
        <v>0.3</v>
      </c>
      <c r="W4" s="2">
        <v>7</v>
      </c>
      <c r="X4" s="2">
        <v>1.76911</v>
      </c>
      <c r="Y4" s="2" t="s">
        <v>130</v>
      </c>
      <c r="Z4" s="2">
        <v>20</v>
      </c>
    </row>
    <row r="5" spans="1:26" ht="23.25" x14ac:dyDescent="0.45">
      <c r="A5" s="2" t="s">
        <v>122</v>
      </c>
      <c r="B5" s="2" t="s">
        <v>136</v>
      </c>
      <c r="C5" s="2" t="s">
        <v>137</v>
      </c>
      <c r="D5" s="2">
        <v>6.46</v>
      </c>
      <c r="E5" s="2">
        <v>0</v>
      </c>
      <c r="F5" s="6">
        <f t="shared" si="0"/>
        <v>0</v>
      </c>
      <c r="G5" s="2" t="s">
        <v>125</v>
      </c>
      <c r="H5" s="2">
        <v>6</v>
      </c>
      <c r="I5" s="2" t="s">
        <v>126</v>
      </c>
      <c r="J5" s="2">
        <v>2</v>
      </c>
      <c r="K5" s="2" t="s">
        <v>127</v>
      </c>
      <c r="L5" s="7">
        <f>IF(R5="Yes",Ref_Assumptions!$C$8,"–")</f>
        <v>20</v>
      </c>
      <c r="M5" s="7">
        <f>IF(R5="Yes",Ref_Assumptions!$C$9,"–")</f>
        <v>15</v>
      </c>
      <c r="N5" s="7">
        <f>IF(R5="Yes",Ref_Assumptions!$C$10,"–")</f>
        <v>26</v>
      </c>
      <c r="O5" s="2">
        <v>70</v>
      </c>
      <c r="P5" s="2">
        <v>40</v>
      </c>
      <c r="Q5" s="2" t="s">
        <v>134</v>
      </c>
      <c r="R5" s="2" t="s">
        <v>135</v>
      </c>
      <c r="S5" s="7">
        <f>IF(R5="Yes",Ref_Assumptions!$C$2,Ref_Assumptions!$C$4)</f>
        <v>10</v>
      </c>
      <c r="T5" s="7">
        <f>IF(R5="Yes",Ref_Assumptions!$C$3,Ref_Assumptions!$C$4)</f>
        <v>0.6</v>
      </c>
      <c r="U5" s="4">
        <f t="shared" si="1"/>
        <v>13.9536</v>
      </c>
      <c r="V5" s="7">
        <f>Ref_Assumptions!$C$5</f>
        <v>0.3</v>
      </c>
      <c r="W5" s="2">
        <v>0</v>
      </c>
      <c r="X5" s="2">
        <v>0</v>
      </c>
      <c r="Y5" s="2" t="s">
        <v>130</v>
      </c>
      <c r="Z5" s="2">
        <v>20</v>
      </c>
    </row>
    <row r="6" spans="1:26" ht="23.25" x14ac:dyDescent="0.45">
      <c r="A6" s="2" t="s">
        <v>122</v>
      </c>
      <c r="B6" s="2" t="s">
        <v>138</v>
      </c>
      <c r="C6" s="2" t="s">
        <v>124</v>
      </c>
      <c r="D6" s="2">
        <v>73.89</v>
      </c>
      <c r="E6" s="2">
        <v>0</v>
      </c>
      <c r="F6" s="6">
        <f t="shared" si="0"/>
        <v>0</v>
      </c>
      <c r="G6" s="2" t="s">
        <v>125</v>
      </c>
      <c r="H6" s="2">
        <v>6</v>
      </c>
      <c r="I6" s="2" t="s">
        <v>126</v>
      </c>
      <c r="J6" s="2">
        <v>2</v>
      </c>
      <c r="K6" s="2" t="s">
        <v>127</v>
      </c>
      <c r="L6" s="7" t="str">
        <f>IF(R6="Yes",Ref_Assumptions!$C$8,"–")</f>
        <v>–</v>
      </c>
      <c r="M6" s="7" t="str">
        <f>IF(R6="Yes",Ref_Assumptions!$C$9,"–")</f>
        <v>–</v>
      </c>
      <c r="N6" s="7" t="str">
        <f>IF(R6="Yes",Ref_Assumptions!$C$10,"–")</f>
        <v>–</v>
      </c>
      <c r="O6" s="2">
        <v>70</v>
      </c>
      <c r="P6" s="2">
        <v>40</v>
      </c>
      <c r="Q6" s="2" t="s">
        <v>128</v>
      </c>
      <c r="R6" s="2" t="s">
        <v>129</v>
      </c>
      <c r="S6" s="7">
        <f>IF(R6="Yes",Ref_Assumptions!$C$2,Ref_Assumptions!$C$4)</f>
        <v>0</v>
      </c>
      <c r="T6" s="7">
        <f>IF(R6="Yes",Ref_Assumptions!$C$3,Ref_Assumptions!$C$4)</f>
        <v>0</v>
      </c>
      <c r="U6" s="4">
        <f t="shared" si="1"/>
        <v>0</v>
      </c>
      <c r="V6" s="7">
        <f>Ref_Assumptions!$C$5</f>
        <v>0.3</v>
      </c>
      <c r="W6" s="2">
        <v>0</v>
      </c>
      <c r="X6" s="2">
        <v>0</v>
      </c>
      <c r="Y6" s="2" t="s">
        <v>130</v>
      </c>
      <c r="Z6" s="2">
        <v>20</v>
      </c>
    </row>
    <row r="7" spans="1:26" ht="23.25" x14ac:dyDescent="0.45">
      <c r="A7" s="2" t="s">
        <v>122</v>
      </c>
      <c r="B7" s="2" t="s">
        <v>139</v>
      </c>
      <c r="C7" s="2" t="s">
        <v>124</v>
      </c>
      <c r="D7" s="2">
        <v>31.04</v>
      </c>
      <c r="E7" s="2">
        <v>0</v>
      </c>
      <c r="F7" s="6">
        <f t="shared" si="0"/>
        <v>0</v>
      </c>
      <c r="G7" s="2" t="s">
        <v>125</v>
      </c>
      <c r="H7" s="2">
        <v>6</v>
      </c>
      <c r="I7" s="2" t="s">
        <v>126</v>
      </c>
      <c r="J7" s="2">
        <v>2</v>
      </c>
      <c r="K7" s="2" t="s">
        <v>127</v>
      </c>
      <c r="L7" s="7" t="str">
        <f>IF(R7="Yes",Ref_Assumptions!$C$8,"–")</f>
        <v>–</v>
      </c>
      <c r="M7" s="7" t="str">
        <f>IF(R7="Yes",Ref_Assumptions!$C$9,"–")</f>
        <v>–</v>
      </c>
      <c r="N7" s="7" t="str">
        <f>IF(R7="Yes",Ref_Assumptions!$C$10,"–")</f>
        <v>–</v>
      </c>
      <c r="O7" s="2">
        <v>70</v>
      </c>
      <c r="P7" s="2">
        <v>40</v>
      </c>
      <c r="Q7" s="2" t="s">
        <v>128</v>
      </c>
      <c r="R7" s="2" t="s">
        <v>129</v>
      </c>
      <c r="S7" s="7">
        <f>IF(R7="Yes",Ref_Assumptions!$C$2,Ref_Assumptions!$C$4)</f>
        <v>0</v>
      </c>
      <c r="T7" s="7">
        <f>IF(R7="Yes",Ref_Assumptions!$C$3,Ref_Assumptions!$C$4)</f>
        <v>0</v>
      </c>
      <c r="U7" s="4">
        <f t="shared" si="1"/>
        <v>0</v>
      </c>
      <c r="V7" s="7">
        <f>Ref_Assumptions!$C$5</f>
        <v>0.3</v>
      </c>
      <c r="W7" s="2">
        <v>0</v>
      </c>
      <c r="X7" s="2">
        <v>0</v>
      </c>
      <c r="Y7" s="2" t="s">
        <v>130</v>
      </c>
      <c r="Z7" s="2">
        <v>20</v>
      </c>
    </row>
    <row r="8" spans="1:26" ht="23.25" x14ac:dyDescent="0.45">
      <c r="A8" s="2" t="s">
        <v>122</v>
      </c>
      <c r="B8" s="2" t="s">
        <v>140</v>
      </c>
      <c r="C8" s="2" t="s">
        <v>133</v>
      </c>
      <c r="D8" s="2">
        <v>81.83</v>
      </c>
      <c r="E8" s="2">
        <v>0.3</v>
      </c>
      <c r="F8" s="6">
        <f t="shared" si="0"/>
        <v>24.548999999999999</v>
      </c>
      <c r="G8" s="2" t="s">
        <v>125</v>
      </c>
      <c r="H8" s="2">
        <v>6</v>
      </c>
      <c r="I8" s="2" t="s">
        <v>126</v>
      </c>
      <c r="J8" s="2">
        <v>2</v>
      </c>
      <c r="K8" s="2" t="s">
        <v>127</v>
      </c>
      <c r="L8" s="7">
        <f>IF(R8="Yes",Ref_Assumptions!$C$8,"–")</f>
        <v>20</v>
      </c>
      <c r="M8" s="7">
        <f>IF(R8="Yes",Ref_Assumptions!$C$9,"–")</f>
        <v>15</v>
      </c>
      <c r="N8" s="7">
        <f>IF(R8="Yes",Ref_Assumptions!$C$10,"–")</f>
        <v>26</v>
      </c>
      <c r="O8" s="2">
        <v>70</v>
      </c>
      <c r="P8" s="2">
        <v>40</v>
      </c>
      <c r="Q8" s="2" t="s">
        <v>134</v>
      </c>
      <c r="R8" s="2" t="s">
        <v>135</v>
      </c>
      <c r="S8" s="7">
        <f>IF(R8="Yes",Ref_Assumptions!$C$2,Ref_Assumptions!$C$4)</f>
        <v>10</v>
      </c>
      <c r="T8" s="7">
        <f>IF(R8="Yes",Ref_Assumptions!$C$3,Ref_Assumptions!$C$4)</f>
        <v>0.6</v>
      </c>
      <c r="U8" s="4">
        <f t="shared" si="1"/>
        <v>1060.5168000000001</v>
      </c>
      <c r="V8" s="7">
        <f>Ref_Assumptions!$C$5</f>
        <v>0.3</v>
      </c>
      <c r="W8" s="2">
        <v>7</v>
      </c>
      <c r="X8" s="2">
        <v>1.6629799999999999</v>
      </c>
      <c r="Y8" s="2" t="s">
        <v>130</v>
      </c>
      <c r="Z8" s="2">
        <v>20</v>
      </c>
    </row>
    <row r="9" spans="1:26" ht="23.25" x14ac:dyDescent="0.45">
      <c r="A9" s="2" t="s">
        <v>122</v>
      </c>
      <c r="B9" s="2" t="s">
        <v>141</v>
      </c>
      <c r="C9" s="2" t="s">
        <v>133</v>
      </c>
      <c r="D9" s="2">
        <v>82.54</v>
      </c>
      <c r="E9" s="2">
        <v>0.3</v>
      </c>
      <c r="F9" s="6">
        <f t="shared" si="0"/>
        <v>24.762</v>
      </c>
      <c r="G9" s="2" t="s">
        <v>125</v>
      </c>
      <c r="H9" s="2">
        <v>6</v>
      </c>
      <c r="I9" s="2" t="s">
        <v>126</v>
      </c>
      <c r="J9" s="2">
        <v>2</v>
      </c>
      <c r="K9" s="2" t="s">
        <v>127</v>
      </c>
      <c r="L9" s="7">
        <f>IF(R9="Yes",Ref_Assumptions!$C$8,"–")</f>
        <v>20</v>
      </c>
      <c r="M9" s="7">
        <f>IF(R9="Yes",Ref_Assumptions!$C$9,"–")</f>
        <v>15</v>
      </c>
      <c r="N9" s="7">
        <f>IF(R9="Yes",Ref_Assumptions!$C$10,"–")</f>
        <v>26</v>
      </c>
      <c r="O9" s="2">
        <v>70</v>
      </c>
      <c r="P9" s="2">
        <v>40</v>
      </c>
      <c r="Q9" s="2" t="s">
        <v>134</v>
      </c>
      <c r="R9" s="2" t="s">
        <v>135</v>
      </c>
      <c r="S9" s="7">
        <f>IF(R9="Yes",Ref_Assumptions!$C$2,Ref_Assumptions!$C$4)</f>
        <v>10</v>
      </c>
      <c r="T9" s="7">
        <f>IF(R9="Yes",Ref_Assumptions!$C$3,Ref_Assumptions!$C$4)</f>
        <v>0.6</v>
      </c>
      <c r="U9" s="4">
        <f t="shared" si="1"/>
        <v>1069.7184</v>
      </c>
      <c r="V9" s="7">
        <f>Ref_Assumptions!$C$5</f>
        <v>0.3</v>
      </c>
      <c r="W9" s="2">
        <v>7</v>
      </c>
      <c r="X9" s="2">
        <v>1.4836100000000001</v>
      </c>
      <c r="Y9" s="2" t="s">
        <v>130</v>
      </c>
      <c r="Z9" s="2">
        <v>20</v>
      </c>
    </row>
    <row r="10" spans="1:26" ht="23.25" x14ac:dyDescent="0.45">
      <c r="A10" s="2" t="s">
        <v>122</v>
      </c>
      <c r="B10" s="2" t="s">
        <v>142</v>
      </c>
      <c r="C10" s="2" t="s">
        <v>133</v>
      </c>
      <c r="D10" s="2">
        <v>61</v>
      </c>
      <c r="E10" s="2">
        <v>0.3</v>
      </c>
      <c r="F10" s="6">
        <f t="shared" si="0"/>
        <v>18.3</v>
      </c>
      <c r="G10" s="2" t="s">
        <v>125</v>
      </c>
      <c r="H10" s="2">
        <v>6</v>
      </c>
      <c r="I10" s="2" t="s">
        <v>126</v>
      </c>
      <c r="J10" s="2">
        <v>2</v>
      </c>
      <c r="K10" s="2" t="s">
        <v>127</v>
      </c>
      <c r="L10" s="7">
        <f>IF(R10="Yes",Ref_Assumptions!$C$8,"–")</f>
        <v>20</v>
      </c>
      <c r="M10" s="7">
        <f>IF(R10="Yes",Ref_Assumptions!$C$9,"–")</f>
        <v>15</v>
      </c>
      <c r="N10" s="7">
        <f>IF(R10="Yes",Ref_Assumptions!$C$10,"–")</f>
        <v>26</v>
      </c>
      <c r="O10" s="2">
        <v>70</v>
      </c>
      <c r="P10" s="2">
        <v>40</v>
      </c>
      <c r="Q10" s="2" t="s">
        <v>134</v>
      </c>
      <c r="R10" s="2" t="s">
        <v>135</v>
      </c>
      <c r="S10" s="7">
        <f>IF(R10="Yes",Ref_Assumptions!$C$2,Ref_Assumptions!$C$4)</f>
        <v>10</v>
      </c>
      <c r="T10" s="7">
        <f>IF(R10="Yes",Ref_Assumptions!$C$3,Ref_Assumptions!$C$4)</f>
        <v>0.6</v>
      </c>
      <c r="U10" s="4">
        <f t="shared" si="1"/>
        <v>790.56</v>
      </c>
      <c r="V10" s="7">
        <f>Ref_Assumptions!$C$5</f>
        <v>0.3</v>
      </c>
      <c r="W10" s="2">
        <v>7</v>
      </c>
      <c r="X10" s="2">
        <v>1.8600399999999999</v>
      </c>
      <c r="Y10" s="2" t="s">
        <v>130</v>
      </c>
      <c r="Z10" s="2">
        <v>20</v>
      </c>
    </row>
    <row r="11" spans="1:26" ht="23.25" x14ac:dyDescent="0.45">
      <c r="A11" s="2" t="s">
        <v>122</v>
      </c>
      <c r="B11" s="2" t="s">
        <v>143</v>
      </c>
      <c r="C11" s="2" t="s">
        <v>133</v>
      </c>
      <c r="D11" s="2">
        <v>43.26</v>
      </c>
      <c r="E11" s="2">
        <v>0.3</v>
      </c>
      <c r="F11" s="6">
        <f t="shared" si="0"/>
        <v>12.978</v>
      </c>
      <c r="G11" s="2" t="s">
        <v>125</v>
      </c>
      <c r="H11" s="2">
        <v>6</v>
      </c>
      <c r="I11" s="2" t="s">
        <v>126</v>
      </c>
      <c r="J11" s="2">
        <v>2</v>
      </c>
      <c r="K11" s="2" t="s">
        <v>127</v>
      </c>
      <c r="L11" s="7">
        <f>IF(R11="Yes",Ref_Assumptions!$C$8,"–")</f>
        <v>20</v>
      </c>
      <c r="M11" s="7">
        <f>IF(R11="Yes",Ref_Assumptions!$C$9,"–")</f>
        <v>15</v>
      </c>
      <c r="N11" s="7">
        <f>IF(R11="Yes",Ref_Assumptions!$C$10,"–")</f>
        <v>26</v>
      </c>
      <c r="O11" s="2">
        <v>70</v>
      </c>
      <c r="P11" s="2">
        <v>40</v>
      </c>
      <c r="Q11" s="2" t="s">
        <v>134</v>
      </c>
      <c r="R11" s="2" t="s">
        <v>135</v>
      </c>
      <c r="S11" s="7">
        <f>IF(R11="Yes",Ref_Assumptions!$C$2,Ref_Assumptions!$C$4)</f>
        <v>10</v>
      </c>
      <c r="T11" s="7">
        <f>IF(R11="Yes",Ref_Assumptions!$C$3,Ref_Assumptions!$C$4)</f>
        <v>0.6</v>
      </c>
      <c r="U11" s="4">
        <f t="shared" si="1"/>
        <v>560.64959999999996</v>
      </c>
      <c r="V11" s="7">
        <f>Ref_Assumptions!$C$5</f>
        <v>0.3</v>
      </c>
      <c r="W11" s="2">
        <v>7</v>
      </c>
      <c r="X11" s="2">
        <v>1.80586</v>
      </c>
      <c r="Y11" s="2" t="s">
        <v>130</v>
      </c>
      <c r="Z11" s="2">
        <v>20</v>
      </c>
    </row>
    <row r="12" spans="1:26" ht="23.25" x14ac:dyDescent="0.45">
      <c r="A12" s="2" t="s">
        <v>122</v>
      </c>
      <c r="B12" s="2" t="s">
        <v>144</v>
      </c>
      <c r="C12" s="2" t="s">
        <v>133</v>
      </c>
      <c r="D12" s="2">
        <v>46.56</v>
      </c>
      <c r="E12" s="2">
        <v>0.3</v>
      </c>
      <c r="F12" s="6">
        <f t="shared" si="0"/>
        <v>13.968</v>
      </c>
      <c r="G12" s="2" t="s">
        <v>125</v>
      </c>
      <c r="H12" s="2">
        <v>6</v>
      </c>
      <c r="I12" s="2" t="s">
        <v>126</v>
      </c>
      <c r="J12" s="2">
        <v>2</v>
      </c>
      <c r="K12" s="2" t="s">
        <v>127</v>
      </c>
      <c r="L12" s="7">
        <f>IF(R12="Yes",Ref_Assumptions!$C$8,"–")</f>
        <v>20</v>
      </c>
      <c r="M12" s="7">
        <f>IF(R12="Yes",Ref_Assumptions!$C$9,"–")</f>
        <v>15</v>
      </c>
      <c r="N12" s="7">
        <f>IF(R12="Yes",Ref_Assumptions!$C$10,"–")</f>
        <v>26</v>
      </c>
      <c r="O12" s="2">
        <v>70</v>
      </c>
      <c r="P12" s="2">
        <v>40</v>
      </c>
      <c r="Q12" s="2" t="s">
        <v>134</v>
      </c>
      <c r="R12" s="2" t="s">
        <v>135</v>
      </c>
      <c r="S12" s="7">
        <f>IF(R12="Yes",Ref_Assumptions!$C$2,Ref_Assumptions!$C$4)</f>
        <v>10</v>
      </c>
      <c r="T12" s="7">
        <f>IF(R12="Yes",Ref_Assumptions!$C$3,Ref_Assumptions!$C$4)</f>
        <v>0.6</v>
      </c>
      <c r="U12" s="4">
        <f t="shared" si="1"/>
        <v>603.41760000000011</v>
      </c>
      <c r="V12" s="7">
        <f>Ref_Assumptions!$C$5</f>
        <v>0.3</v>
      </c>
      <c r="W12" s="2">
        <v>7</v>
      </c>
      <c r="X12" s="2">
        <v>1.7792399999999999</v>
      </c>
      <c r="Y12" s="2" t="s">
        <v>130</v>
      </c>
      <c r="Z12" s="2">
        <v>20</v>
      </c>
    </row>
    <row r="13" spans="1:26" ht="23.25" x14ac:dyDescent="0.45">
      <c r="A13" s="2" t="s">
        <v>122</v>
      </c>
      <c r="B13" s="2" t="s">
        <v>145</v>
      </c>
      <c r="C13" s="2" t="s">
        <v>133</v>
      </c>
      <c r="D13" s="2">
        <v>47.26</v>
      </c>
      <c r="E13" s="2">
        <v>0.3</v>
      </c>
      <c r="F13" s="6">
        <f t="shared" si="0"/>
        <v>14.177999999999999</v>
      </c>
      <c r="G13" s="2" t="s">
        <v>125</v>
      </c>
      <c r="H13" s="2">
        <v>6</v>
      </c>
      <c r="I13" s="2" t="s">
        <v>126</v>
      </c>
      <c r="J13" s="2">
        <v>2</v>
      </c>
      <c r="K13" s="2" t="s">
        <v>127</v>
      </c>
      <c r="L13" s="7">
        <f>IF(R13="Yes",Ref_Assumptions!$C$8,"–")</f>
        <v>20</v>
      </c>
      <c r="M13" s="7">
        <f>IF(R13="Yes",Ref_Assumptions!$C$9,"–")</f>
        <v>15</v>
      </c>
      <c r="N13" s="7">
        <f>IF(R13="Yes",Ref_Assumptions!$C$10,"–")</f>
        <v>26</v>
      </c>
      <c r="O13" s="2">
        <v>70</v>
      </c>
      <c r="P13" s="2">
        <v>40</v>
      </c>
      <c r="Q13" s="2" t="s">
        <v>134</v>
      </c>
      <c r="R13" s="2" t="s">
        <v>135</v>
      </c>
      <c r="S13" s="7">
        <f>IF(R13="Yes",Ref_Assumptions!$C$2,Ref_Assumptions!$C$4)</f>
        <v>10</v>
      </c>
      <c r="T13" s="7">
        <f>IF(R13="Yes",Ref_Assumptions!$C$3,Ref_Assumptions!$C$4)</f>
        <v>0.6</v>
      </c>
      <c r="U13" s="4">
        <f t="shared" si="1"/>
        <v>612.4896</v>
      </c>
      <c r="V13" s="7">
        <f>Ref_Assumptions!$C$5</f>
        <v>0.3</v>
      </c>
      <c r="W13" s="2">
        <v>7</v>
      </c>
      <c r="X13" s="2">
        <v>1.7518199999999999</v>
      </c>
      <c r="Y13" s="2" t="s">
        <v>130</v>
      </c>
      <c r="Z13" s="2">
        <v>20</v>
      </c>
    </row>
    <row r="14" spans="1:26" ht="23.25" x14ac:dyDescent="0.45">
      <c r="A14" s="2" t="s">
        <v>122</v>
      </c>
      <c r="B14" s="2" t="s">
        <v>146</v>
      </c>
      <c r="C14" s="2" t="s">
        <v>147</v>
      </c>
      <c r="D14" s="2">
        <v>1381.74</v>
      </c>
      <c r="E14" s="2">
        <v>0</v>
      </c>
      <c r="F14" s="6">
        <f t="shared" si="0"/>
        <v>0</v>
      </c>
      <c r="G14" s="2" t="s">
        <v>125</v>
      </c>
      <c r="H14" s="2">
        <v>0</v>
      </c>
      <c r="I14" s="2" t="s">
        <v>148</v>
      </c>
      <c r="J14" s="2">
        <v>0</v>
      </c>
      <c r="K14" s="2" t="s">
        <v>149</v>
      </c>
      <c r="L14" s="7" t="str">
        <f>IF(R14="Yes",Ref_Assumptions!$C$8,"–")</f>
        <v>–</v>
      </c>
      <c r="M14" s="7" t="str">
        <f>IF(R14="Yes",Ref_Assumptions!$C$9,"–")</f>
        <v>–</v>
      </c>
      <c r="N14" s="7" t="str">
        <f>IF(R14="Yes",Ref_Assumptions!$C$10,"–")</f>
        <v>–</v>
      </c>
      <c r="O14" s="2">
        <v>100</v>
      </c>
      <c r="P14" s="2">
        <v>0</v>
      </c>
      <c r="Q14" s="2" t="s">
        <v>128</v>
      </c>
      <c r="R14" s="2" t="s">
        <v>129</v>
      </c>
      <c r="S14" s="7">
        <f>IF(R14="Yes",Ref_Assumptions!$C$2,Ref_Assumptions!$C$4)</f>
        <v>0</v>
      </c>
      <c r="T14" s="7">
        <f>IF(R14="Yes",Ref_Assumptions!$C$3,Ref_Assumptions!$C$4)</f>
        <v>0</v>
      </c>
      <c r="U14" s="4">
        <f t="shared" si="1"/>
        <v>0</v>
      </c>
      <c r="V14" s="7">
        <f>Ref_Assumptions!$C$5</f>
        <v>0.3</v>
      </c>
      <c r="W14" s="2">
        <v>0</v>
      </c>
      <c r="X14" s="2">
        <v>0</v>
      </c>
      <c r="Y14" s="2" t="s">
        <v>130</v>
      </c>
      <c r="Z14" s="2">
        <v>20</v>
      </c>
    </row>
    <row r="15" spans="1:26" ht="23.25" x14ac:dyDescent="0.45">
      <c r="A15" s="2" t="s">
        <v>122</v>
      </c>
      <c r="B15" s="2" t="s">
        <v>150</v>
      </c>
      <c r="C15" s="2" t="s">
        <v>147</v>
      </c>
      <c r="D15" s="2">
        <v>33.159999999999997</v>
      </c>
      <c r="E15" s="2">
        <v>0</v>
      </c>
      <c r="F15" s="6">
        <f t="shared" si="0"/>
        <v>0</v>
      </c>
      <c r="G15" s="2" t="s">
        <v>125</v>
      </c>
      <c r="H15" s="2">
        <v>6</v>
      </c>
      <c r="I15" s="2" t="s">
        <v>126</v>
      </c>
      <c r="J15" s="2">
        <v>2</v>
      </c>
      <c r="K15" s="2" t="s">
        <v>127</v>
      </c>
      <c r="L15" s="7" t="str">
        <f>IF(R15="Yes",Ref_Assumptions!$C$8,"–")</f>
        <v>–</v>
      </c>
      <c r="M15" s="7" t="str">
        <f>IF(R15="Yes",Ref_Assumptions!$C$9,"–")</f>
        <v>–</v>
      </c>
      <c r="N15" s="7" t="str">
        <f>IF(R15="Yes",Ref_Assumptions!$C$10,"–")</f>
        <v>–</v>
      </c>
      <c r="O15" s="2">
        <v>70</v>
      </c>
      <c r="P15" s="2">
        <v>40</v>
      </c>
      <c r="Q15" s="2" t="s">
        <v>128</v>
      </c>
      <c r="R15" s="2" t="s">
        <v>129</v>
      </c>
      <c r="S15" s="7">
        <f>IF(R15="Yes",Ref_Assumptions!$C$2,Ref_Assumptions!$C$4)</f>
        <v>0</v>
      </c>
      <c r="T15" s="7">
        <f>IF(R15="Yes",Ref_Assumptions!$C$3,Ref_Assumptions!$C$4)</f>
        <v>0</v>
      </c>
      <c r="U15" s="4">
        <f t="shared" si="1"/>
        <v>0</v>
      </c>
      <c r="V15" s="7">
        <f>Ref_Assumptions!$C$5</f>
        <v>0.3</v>
      </c>
      <c r="W15" s="2">
        <v>0</v>
      </c>
      <c r="X15" s="2">
        <v>0</v>
      </c>
      <c r="Y15" s="2" t="s">
        <v>130</v>
      </c>
      <c r="Z15" s="2">
        <v>20</v>
      </c>
    </row>
    <row r="16" spans="1:26" ht="23.25" x14ac:dyDescent="0.45">
      <c r="A16" s="2" t="s">
        <v>122</v>
      </c>
      <c r="B16" s="2" t="s">
        <v>151</v>
      </c>
      <c r="C16" s="2" t="s">
        <v>152</v>
      </c>
      <c r="D16" s="2">
        <v>136.44999999999999</v>
      </c>
      <c r="E16" s="2">
        <v>0</v>
      </c>
      <c r="F16" s="6">
        <f t="shared" si="0"/>
        <v>0</v>
      </c>
      <c r="G16" s="2" t="s">
        <v>125</v>
      </c>
      <c r="H16" s="2">
        <v>6</v>
      </c>
      <c r="I16" s="2" t="s">
        <v>126</v>
      </c>
      <c r="J16" s="2">
        <v>2</v>
      </c>
      <c r="K16" s="2" t="s">
        <v>127</v>
      </c>
      <c r="L16" s="7">
        <f>IF(R16="Yes",Ref_Assumptions!$C$8,"–")</f>
        <v>20</v>
      </c>
      <c r="M16" s="7">
        <f>IF(R16="Yes",Ref_Assumptions!$C$9,"–")</f>
        <v>15</v>
      </c>
      <c r="N16" s="7">
        <f>IF(R16="Yes",Ref_Assumptions!$C$10,"–")</f>
        <v>26</v>
      </c>
      <c r="O16" s="2">
        <v>70</v>
      </c>
      <c r="P16" s="2">
        <v>40</v>
      </c>
      <c r="Q16" s="2" t="s">
        <v>134</v>
      </c>
      <c r="R16" s="2" t="s">
        <v>135</v>
      </c>
      <c r="S16" s="7">
        <f>IF(R16="Yes",Ref_Assumptions!$C$2,Ref_Assumptions!$C$4)</f>
        <v>10</v>
      </c>
      <c r="T16" s="7">
        <f>IF(R16="Yes",Ref_Assumptions!$C$3,Ref_Assumptions!$C$4)</f>
        <v>0.6</v>
      </c>
      <c r="U16" s="4">
        <f t="shared" si="1"/>
        <v>294.73199999999997</v>
      </c>
      <c r="V16" s="7">
        <f>Ref_Assumptions!$C$5</f>
        <v>0.3</v>
      </c>
      <c r="W16" s="2">
        <v>0</v>
      </c>
      <c r="X16" s="2">
        <v>8</v>
      </c>
      <c r="Y16" s="2" t="s">
        <v>130</v>
      </c>
      <c r="Z16" s="2">
        <v>20</v>
      </c>
    </row>
    <row r="17" spans="1:26" ht="23.25" x14ac:dyDescent="0.45">
      <c r="A17" s="2" t="s">
        <v>122</v>
      </c>
      <c r="B17" s="2" t="s">
        <v>153</v>
      </c>
      <c r="C17" s="2" t="s">
        <v>147</v>
      </c>
      <c r="D17" s="2">
        <v>36.74</v>
      </c>
      <c r="E17" s="2">
        <v>0</v>
      </c>
      <c r="F17" s="6">
        <f t="shared" si="0"/>
        <v>0</v>
      </c>
      <c r="G17" s="2" t="s">
        <v>125</v>
      </c>
      <c r="H17" s="2">
        <v>6</v>
      </c>
      <c r="I17" s="2" t="s">
        <v>154</v>
      </c>
      <c r="J17" s="2">
        <v>0</v>
      </c>
      <c r="K17" s="2" t="s">
        <v>154</v>
      </c>
      <c r="L17" s="7" t="str">
        <f>IF(R17="Yes",Ref_Assumptions!$C$8,"–")</f>
        <v>–</v>
      </c>
      <c r="M17" s="7" t="str">
        <f>IF(R17="Yes",Ref_Assumptions!$C$9,"–")</f>
        <v>–</v>
      </c>
      <c r="N17" s="7" t="str">
        <f>IF(R17="Yes",Ref_Assumptions!$C$10,"–")</f>
        <v>–</v>
      </c>
      <c r="O17" s="2">
        <v>70</v>
      </c>
      <c r="P17" s="2">
        <v>40</v>
      </c>
      <c r="Q17" s="2" t="s">
        <v>128</v>
      </c>
      <c r="R17" s="2" t="s">
        <v>129</v>
      </c>
      <c r="S17" s="7">
        <f>IF(R17="Yes",Ref_Assumptions!$C$2,Ref_Assumptions!$C$4)</f>
        <v>0</v>
      </c>
      <c r="T17" s="7">
        <f>IF(R17="Yes",Ref_Assumptions!$C$3,Ref_Assumptions!$C$4)</f>
        <v>0</v>
      </c>
      <c r="U17" s="4">
        <f t="shared" si="1"/>
        <v>0</v>
      </c>
      <c r="V17" s="7">
        <f>Ref_Assumptions!$C$5</f>
        <v>0.3</v>
      </c>
      <c r="W17" s="2">
        <v>0</v>
      </c>
      <c r="X17" s="2">
        <v>1</v>
      </c>
      <c r="Y17" s="2" t="s">
        <v>130</v>
      </c>
      <c r="Z17" s="2">
        <v>20</v>
      </c>
    </row>
    <row r="18" spans="1:26" ht="23.25" x14ac:dyDescent="0.45">
      <c r="A18" s="2" t="s">
        <v>122</v>
      </c>
      <c r="B18" s="2" t="s">
        <v>155</v>
      </c>
      <c r="C18" s="2" t="s">
        <v>147</v>
      </c>
      <c r="D18" s="2">
        <v>1130.23</v>
      </c>
      <c r="E18" s="2">
        <v>0</v>
      </c>
      <c r="F18" s="6">
        <f t="shared" si="0"/>
        <v>0</v>
      </c>
      <c r="G18" s="2" t="s">
        <v>125</v>
      </c>
      <c r="H18" s="2">
        <v>6</v>
      </c>
      <c r="I18" s="2" t="s">
        <v>154</v>
      </c>
      <c r="J18" s="2">
        <v>0</v>
      </c>
      <c r="K18" s="2" t="s">
        <v>154</v>
      </c>
      <c r="L18" s="7" t="str">
        <f>IF(R18="Yes",Ref_Assumptions!$C$8,"–")</f>
        <v>–</v>
      </c>
      <c r="M18" s="7" t="str">
        <f>IF(R18="Yes",Ref_Assumptions!$C$9,"–")</f>
        <v>–</v>
      </c>
      <c r="N18" s="7" t="str">
        <f>IF(R18="Yes",Ref_Assumptions!$C$10,"–")</f>
        <v>–</v>
      </c>
      <c r="O18" s="2">
        <v>70</v>
      </c>
      <c r="P18" s="2">
        <v>40</v>
      </c>
      <c r="Q18" s="2" t="s">
        <v>128</v>
      </c>
      <c r="R18" s="2" t="s">
        <v>129</v>
      </c>
      <c r="S18" s="7">
        <f>IF(R18="Yes",Ref_Assumptions!$C$2,Ref_Assumptions!$C$4)</f>
        <v>0</v>
      </c>
      <c r="T18" s="7">
        <f>IF(R18="Yes",Ref_Assumptions!$C$3,Ref_Assumptions!$C$4)</f>
        <v>0</v>
      </c>
      <c r="U18" s="4">
        <f t="shared" si="1"/>
        <v>0</v>
      </c>
      <c r="V18" s="7">
        <f>Ref_Assumptions!$C$5</f>
        <v>0.3</v>
      </c>
      <c r="W18" s="2">
        <v>0</v>
      </c>
      <c r="X18" s="2">
        <v>1</v>
      </c>
      <c r="Y18" s="2" t="s">
        <v>130</v>
      </c>
      <c r="Z18" s="2">
        <v>20</v>
      </c>
    </row>
    <row r="19" spans="1:26" ht="23.25" x14ac:dyDescent="0.45">
      <c r="A19" s="2" t="s">
        <v>122</v>
      </c>
      <c r="B19" s="2" t="s">
        <v>156</v>
      </c>
      <c r="C19" s="2" t="s">
        <v>152</v>
      </c>
      <c r="D19" s="2">
        <v>38.15</v>
      </c>
      <c r="E19" s="2">
        <v>0</v>
      </c>
      <c r="F19" s="6">
        <f t="shared" si="0"/>
        <v>0</v>
      </c>
      <c r="G19" s="2" t="s">
        <v>125</v>
      </c>
      <c r="H19" s="2">
        <v>6</v>
      </c>
      <c r="I19" s="2" t="s">
        <v>126</v>
      </c>
      <c r="J19" s="2">
        <v>2</v>
      </c>
      <c r="K19" s="2" t="s">
        <v>127</v>
      </c>
      <c r="L19" s="7">
        <f>IF(R19="Yes",Ref_Assumptions!$C$8,"–")</f>
        <v>20</v>
      </c>
      <c r="M19" s="7">
        <f>IF(R19="Yes",Ref_Assumptions!$C$9,"–")</f>
        <v>15</v>
      </c>
      <c r="N19" s="7">
        <f>IF(R19="Yes",Ref_Assumptions!$C$10,"–")</f>
        <v>26</v>
      </c>
      <c r="O19" s="2">
        <v>70</v>
      </c>
      <c r="P19" s="2">
        <v>40</v>
      </c>
      <c r="Q19" s="2" t="s">
        <v>134</v>
      </c>
      <c r="R19" s="2" t="s">
        <v>135</v>
      </c>
      <c r="S19" s="7">
        <f>IF(R19="Yes",Ref_Assumptions!$C$2,Ref_Assumptions!$C$4)</f>
        <v>10</v>
      </c>
      <c r="T19" s="7">
        <f>IF(R19="Yes",Ref_Assumptions!$C$3,Ref_Assumptions!$C$4)</f>
        <v>0.6</v>
      </c>
      <c r="U19" s="4">
        <f t="shared" si="1"/>
        <v>82.403999999999996</v>
      </c>
      <c r="V19" s="7">
        <f>Ref_Assumptions!$C$5</f>
        <v>0.3</v>
      </c>
      <c r="W19" s="2">
        <v>0</v>
      </c>
      <c r="X19" s="2">
        <v>0</v>
      </c>
      <c r="Y19" s="2" t="s">
        <v>130</v>
      </c>
      <c r="Z19" s="2">
        <v>20</v>
      </c>
    </row>
    <row r="20" spans="1:26" ht="23.25" x14ac:dyDescent="0.45">
      <c r="A20" s="2" t="s">
        <v>122</v>
      </c>
      <c r="B20" s="2" t="s">
        <v>157</v>
      </c>
      <c r="C20" s="2" t="s">
        <v>152</v>
      </c>
      <c r="D20" s="2">
        <v>0</v>
      </c>
      <c r="E20" s="2">
        <v>0</v>
      </c>
      <c r="F20" s="6">
        <f t="shared" si="0"/>
        <v>0</v>
      </c>
      <c r="G20" s="2" t="s">
        <v>125</v>
      </c>
      <c r="H20" s="2">
        <v>6</v>
      </c>
      <c r="I20" s="2" t="s">
        <v>154</v>
      </c>
      <c r="J20" s="2">
        <v>0</v>
      </c>
      <c r="K20" s="2" t="s">
        <v>154</v>
      </c>
      <c r="L20" s="7">
        <f>IF(R20="Yes",Ref_Assumptions!$C$8,"–")</f>
        <v>20</v>
      </c>
      <c r="M20" s="7">
        <f>IF(R20="Yes",Ref_Assumptions!$C$9,"–")</f>
        <v>15</v>
      </c>
      <c r="N20" s="7">
        <f>IF(R20="Yes",Ref_Assumptions!$C$10,"–")</f>
        <v>26</v>
      </c>
      <c r="O20" s="2">
        <v>70</v>
      </c>
      <c r="P20" s="2">
        <v>40</v>
      </c>
      <c r="Q20" s="2" t="s">
        <v>134</v>
      </c>
      <c r="R20" s="2" t="s">
        <v>135</v>
      </c>
      <c r="S20" s="7">
        <f>IF(R20="Yes",Ref_Assumptions!$C$2,Ref_Assumptions!$C$4)</f>
        <v>10</v>
      </c>
      <c r="T20" s="7">
        <f>IF(R20="Yes",Ref_Assumptions!$C$3,Ref_Assumptions!$C$4)</f>
        <v>0.6</v>
      </c>
      <c r="U20" s="4">
        <f t="shared" si="1"/>
        <v>0</v>
      </c>
      <c r="V20" s="7">
        <f>Ref_Assumptions!$C$5</f>
        <v>0.3</v>
      </c>
      <c r="W20" s="2">
        <v>0</v>
      </c>
      <c r="X20" s="2">
        <v>0</v>
      </c>
      <c r="Y20" s="2" t="s">
        <v>130</v>
      </c>
      <c r="Z20" s="2">
        <v>20</v>
      </c>
    </row>
    <row r="21" spans="1:26" ht="23.25" x14ac:dyDescent="0.45">
      <c r="A21" s="2" t="s">
        <v>122</v>
      </c>
      <c r="B21" s="2" t="s">
        <v>158</v>
      </c>
      <c r="C21" s="2" t="s">
        <v>147</v>
      </c>
      <c r="D21" s="2">
        <v>504.16</v>
      </c>
      <c r="E21" s="2">
        <v>0</v>
      </c>
      <c r="F21" s="6">
        <f t="shared" si="0"/>
        <v>0</v>
      </c>
      <c r="G21" s="2" t="s">
        <v>125</v>
      </c>
      <c r="H21" s="2">
        <v>6</v>
      </c>
      <c r="I21" s="2" t="s">
        <v>154</v>
      </c>
      <c r="J21" s="2">
        <v>2</v>
      </c>
      <c r="K21" s="2" t="s">
        <v>154</v>
      </c>
      <c r="L21" s="7" t="str">
        <f>IF(R21="Yes",Ref_Assumptions!$C$8,"–")</f>
        <v>–</v>
      </c>
      <c r="M21" s="7" t="str">
        <f>IF(R21="Yes",Ref_Assumptions!$C$9,"–")</f>
        <v>–</v>
      </c>
      <c r="N21" s="7" t="str">
        <f>IF(R21="Yes",Ref_Assumptions!$C$10,"–")</f>
        <v>–</v>
      </c>
      <c r="O21" s="2">
        <v>70</v>
      </c>
      <c r="P21" s="2">
        <v>40</v>
      </c>
      <c r="Q21" s="2" t="s">
        <v>128</v>
      </c>
      <c r="R21" s="2" t="s">
        <v>129</v>
      </c>
      <c r="S21" s="7">
        <f>IF(R21="Yes",Ref_Assumptions!$C$2,Ref_Assumptions!$C$4)</f>
        <v>0</v>
      </c>
      <c r="T21" s="7">
        <f>IF(R21="Yes",Ref_Assumptions!$C$3,Ref_Assumptions!$C$4)</f>
        <v>0</v>
      </c>
      <c r="U21" s="4">
        <f t="shared" si="1"/>
        <v>0</v>
      </c>
      <c r="V21" s="7">
        <f>Ref_Assumptions!$C$5</f>
        <v>0.3</v>
      </c>
      <c r="W21" s="2">
        <v>0</v>
      </c>
      <c r="X21" s="2">
        <v>0</v>
      </c>
      <c r="Y21" s="2" t="s">
        <v>130</v>
      </c>
      <c r="Z21" s="2">
        <v>20</v>
      </c>
    </row>
    <row r="22" spans="1:26" ht="23.25" x14ac:dyDescent="0.45">
      <c r="A22" s="2" t="s">
        <v>122</v>
      </c>
      <c r="B22" s="2" t="s">
        <v>159</v>
      </c>
      <c r="C22" s="2" t="s">
        <v>152</v>
      </c>
      <c r="D22" s="2">
        <v>5.2</v>
      </c>
      <c r="E22" s="2">
        <v>0</v>
      </c>
      <c r="F22" s="6">
        <f t="shared" si="0"/>
        <v>0</v>
      </c>
      <c r="G22" s="2" t="s">
        <v>125</v>
      </c>
      <c r="H22" s="2">
        <v>6</v>
      </c>
      <c r="I22" s="2" t="s">
        <v>154</v>
      </c>
      <c r="J22" s="2">
        <v>2</v>
      </c>
      <c r="K22" s="2" t="s">
        <v>154</v>
      </c>
      <c r="L22" s="7">
        <f>IF(R22="Yes",Ref_Assumptions!$C$8,"–")</f>
        <v>20</v>
      </c>
      <c r="M22" s="7">
        <f>IF(R22="Yes",Ref_Assumptions!$C$9,"–")</f>
        <v>15</v>
      </c>
      <c r="N22" s="7">
        <f>IF(R22="Yes",Ref_Assumptions!$C$10,"–")</f>
        <v>26</v>
      </c>
      <c r="O22" s="2">
        <v>70</v>
      </c>
      <c r="P22" s="2">
        <v>40</v>
      </c>
      <c r="Q22" s="2" t="s">
        <v>134</v>
      </c>
      <c r="R22" s="2" t="s">
        <v>135</v>
      </c>
      <c r="S22" s="7">
        <f>IF(R22="Yes",Ref_Assumptions!$C$2,Ref_Assumptions!$C$4)</f>
        <v>10</v>
      </c>
      <c r="T22" s="7">
        <f>IF(R22="Yes",Ref_Assumptions!$C$3,Ref_Assumptions!$C$4)</f>
        <v>0.6</v>
      </c>
      <c r="U22" s="4">
        <f t="shared" si="1"/>
        <v>11.232000000000001</v>
      </c>
      <c r="V22" s="7">
        <f>Ref_Assumptions!$C$5</f>
        <v>0.3</v>
      </c>
      <c r="W22" s="2">
        <v>0</v>
      </c>
      <c r="X22" s="2">
        <v>0</v>
      </c>
      <c r="Y22" s="2" t="s">
        <v>130</v>
      </c>
      <c r="Z22" s="2">
        <v>20</v>
      </c>
    </row>
    <row r="23" spans="1:26" ht="23.25" x14ac:dyDescent="0.45">
      <c r="A23" s="2" t="s">
        <v>122</v>
      </c>
      <c r="B23" s="2" t="s">
        <v>160</v>
      </c>
      <c r="C23" s="2" t="s">
        <v>161</v>
      </c>
      <c r="D23" s="2">
        <v>61.15</v>
      </c>
      <c r="E23" s="2">
        <v>0.6</v>
      </c>
      <c r="F23" s="6">
        <f t="shared" si="0"/>
        <v>36.69</v>
      </c>
      <c r="G23" s="2" t="s">
        <v>125</v>
      </c>
      <c r="H23" s="2">
        <v>6</v>
      </c>
      <c r="I23" s="2" t="s">
        <v>126</v>
      </c>
      <c r="J23" s="2">
        <v>2</v>
      </c>
      <c r="K23" s="2" t="s">
        <v>127</v>
      </c>
      <c r="L23" s="7">
        <f>IF(R23="Yes",Ref_Assumptions!$C$8,"–")</f>
        <v>20</v>
      </c>
      <c r="M23" s="7">
        <f>IF(R23="Yes",Ref_Assumptions!$C$9,"–")</f>
        <v>15</v>
      </c>
      <c r="N23" s="7">
        <f>IF(R23="Yes",Ref_Assumptions!$C$10,"–")</f>
        <v>26</v>
      </c>
      <c r="O23" s="2">
        <v>70</v>
      </c>
      <c r="P23" s="2">
        <v>40</v>
      </c>
      <c r="Q23" s="2" t="s">
        <v>134</v>
      </c>
      <c r="R23" s="2" t="s">
        <v>135</v>
      </c>
      <c r="S23" s="7">
        <f>IF(R23="Yes",Ref_Assumptions!$C$2,Ref_Assumptions!$C$4)</f>
        <v>10</v>
      </c>
      <c r="T23" s="7">
        <f>IF(R23="Yes",Ref_Assumptions!$C$3,Ref_Assumptions!$C$4)</f>
        <v>0.6</v>
      </c>
      <c r="U23" s="4">
        <f t="shared" si="1"/>
        <v>1452.924</v>
      </c>
      <c r="V23" s="7">
        <f>Ref_Assumptions!$C$5</f>
        <v>0.3</v>
      </c>
      <c r="W23" s="2">
        <v>7</v>
      </c>
      <c r="X23" s="2">
        <v>3.7383799999999998</v>
      </c>
      <c r="Y23" s="2" t="s">
        <v>130</v>
      </c>
      <c r="Z23" s="2">
        <v>20</v>
      </c>
    </row>
    <row r="24" spans="1:26" ht="23.25" x14ac:dyDescent="0.45">
      <c r="A24" s="2" t="s">
        <v>122</v>
      </c>
      <c r="B24" s="2" t="s">
        <v>162</v>
      </c>
      <c r="C24" s="2" t="s">
        <v>147</v>
      </c>
      <c r="D24" s="2">
        <v>561.96</v>
      </c>
      <c r="E24" s="2">
        <v>0</v>
      </c>
      <c r="F24" s="6">
        <f t="shared" si="0"/>
        <v>0</v>
      </c>
      <c r="G24" s="2" t="s">
        <v>125</v>
      </c>
      <c r="H24" s="2">
        <v>6</v>
      </c>
      <c r="I24" s="2" t="s">
        <v>154</v>
      </c>
      <c r="J24" s="2">
        <v>0</v>
      </c>
      <c r="K24" s="2" t="s">
        <v>154</v>
      </c>
      <c r="L24" s="7" t="str">
        <f>IF(R24="Yes",Ref_Assumptions!$C$8,"–")</f>
        <v>–</v>
      </c>
      <c r="M24" s="7" t="str">
        <f>IF(R24="Yes",Ref_Assumptions!$C$9,"–")</f>
        <v>–</v>
      </c>
      <c r="N24" s="7" t="str">
        <f>IF(R24="Yes",Ref_Assumptions!$C$10,"–")</f>
        <v>–</v>
      </c>
      <c r="O24" s="2">
        <v>70</v>
      </c>
      <c r="P24" s="2">
        <v>40</v>
      </c>
      <c r="Q24" s="2" t="s">
        <v>128</v>
      </c>
      <c r="R24" s="2" t="s">
        <v>129</v>
      </c>
      <c r="S24" s="7">
        <f>IF(R24="Yes",Ref_Assumptions!$C$2,Ref_Assumptions!$C$4)</f>
        <v>0</v>
      </c>
      <c r="T24" s="7">
        <f>IF(R24="Yes",Ref_Assumptions!$C$3,Ref_Assumptions!$C$4)</f>
        <v>0</v>
      </c>
      <c r="U24" s="4">
        <f t="shared" si="1"/>
        <v>0</v>
      </c>
      <c r="V24" s="7">
        <f>Ref_Assumptions!$C$5</f>
        <v>0.3</v>
      </c>
      <c r="W24" s="2">
        <v>0</v>
      </c>
      <c r="X24" s="2">
        <v>1</v>
      </c>
      <c r="Y24" s="2" t="s">
        <v>130</v>
      </c>
      <c r="Z24" s="2">
        <v>20</v>
      </c>
    </row>
    <row r="25" spans="1:26" ht="23.25" x14ac:dyDescent="0.45">
      <c r="A25" s="2" t="s">
        <v>122</v>
      </c>
      <c r="B25" s="2" t="s">
        <v>163</v>
      </c>
      <c r="C25" s="2" t="s">
        <v>164</v>
      </c>
      <c r="D25" s="2">
        <v>58.92</v>
      </c>
      <c r="E25" s="2">
        <v>0.12</v>
      </c>
      <c r="F25" s="6">
        <f t="shared" si="0"/>
        <v>7.0704000000000002</v>
      </c>
      <c r="G25" s="2" t="s">
        <v>125</v>
      </c>
      <c r="H25" s="2">
        <v>7</v>
      </c>
      <c r="I25" s="2" t="s">
        <v>126</v>
      </c>
      <c r="J25" s="2">
        <v>2</v>
      </c>
      <c r="K25" s="2" t="s">
        <v>127</v>
      </c>
      <c r="L25" s="7">
        <f>IF(R25="Yes",Ref_Assumptions!$C$8,"–")</f>
        <v>20</v>
      </c>
      <c r="M25" s="7">
        <f>IF(R25="Yes",Ref_Assumptions!$C$9,"–")</f>
        <v>15</v>
      </c>
      <c r="N25" s="7">
        <f>IF(R25="Yes",Ref_Assumptions!$C$10,"–")</f>
        <v>26</v>
      </c>
      <c r="O25" s="2">
        <v>70</v>
      </c>
      <c r="P25" s="2">
        <v>40</v>
      </c>
      <c r="Q25" s="2" t="s">
        <v>134</v>
      </c>
      <c r="R25" s="2" t="s">
        <v>135</v>
      </c>
      <c r="S25" s="7">
        <f>IF(R25="Yes",Ref_Assumptions!$C$2,Ref_Assumptions!$C$4)</f>
        <v>10</v>
      </c>
      <c r="T25" s="7">
        <f>IF(R25="Yes",Ref_Assumptions!$C$3,Ref_Assumptions!$C$4)</f>
        <v>0.6</v>
      </c>
      <c r="U25" s="4">
        <f t="shared" si="1"/>
        <v>381.80160000000006</v>
      </c>
      <c r="V25" s="7">
        <f>Ref_Assumptions!$C$5</f>
        <v>0.3</v>
      </c>
      <c r="W25" s="2">
        <v>7</v>
      </c>
      <c r="X25" s="2">
        <v>0.68598999999999999</v>
      </c>
      <c r="Y25" s="2" t="s">
        <v>130</v>
      </c>
      <c r="Z25" s="2">
        <v>20</v>
      </c>
    </row>
    <row r="26" spans="1:26" ht="23.25" x14ac:dyDescent="0.45">
      <c r="A26" s="2" t="s">
        <v>122</v>
      </c>
      <c r="B26" s="2" t="s">
        <v>165</v>
      </c>
      <c r="C26" s="2" t="s">
        <v>152</v>
      </c>
      <c r="D26" s="2">
        <v>38.15</v>
      </c>
      <c r="E26" s="2">
        <v>0</v>
      </c>
      <c r="F26" s="6">
        <f t="shared" si="0"/>
        <v>0</v>
      </c>
      <c r="G26" s="2" t="s">
        <v>125</v>
      </c>
      <c r="H26" s="2">
        <v>6</v>
      </c>
      <c r="I26" s="2" t="s">
        <v>126</v>
      </c>
      <c r="J26" s="2">
        <v>2</v>
      </c>
      <c r="K26" s="2" t="s">
        <v>127</v>
      </c>
      <c r="L26" s="7">
        <f>IF(R26="Yes",Ref_Assumptions!$C$8,"–")</f>
        <v>20</v>
      </c>
      <c r="M26" s="7">
        <f>IF(R26="Yes",Ref_Assumptions!$C$9,"–")</f>
        <v>15</v>
      </c>
      <c r="N26" s="7">
        <f>IF(R26="Yes",Ref_Assumptions!$C$10,"–")</f>
        <v>26</v>
      </c>
      <c r="O26" s="2">
        <v>70</v>
      </c>
      <c r="P26" s="2">
        <v>40</v>
      </c>
      <c r="Q26" s="2" t="s">
        <v>134</v>
      </c>
      <c r="R26" s="2" t="s">
        <v>135</v>
      </c>
      <c r="S26" s="7">
        <f>IF(R26="Yes",Ref_Assumptions!$C$2,Ref_Assumptions!$C$4)</f>
        <v>10</v>
      </c>
      <c r="T26" s="7">
        <f>IF(R26="Yes",Ref_Assumptions!$C$3,Ref_Assumptions!$C$4)</f>
        <v>0.6</v>
      </c>
      <c r="U26" s="4">
        <f t="shared" si="1"/>
        <v>82.403999999999996</v>
      </c>
      <c r="V26" s="7">
        <f>Ref_Assumptions!$C$5</f>
        <v>0.3</v>
      </c>
      <c r="W26" s="2">
        <v>0</v>
      </c>
      <c r="X26" s="2">
        <v>0</v>
      </c>
      <c r="Y26" s="2" t="s">
        <v>130</v>
      </c>
      <c r="Z26" s="2">
        <v>20</v>
      </c>
    </row>
    <row r="27" spans="1:26" ht="23.25" x14ac:dyDescent="0.45">
      <c r="A27" s="2" t="s">
        <v>122</v>
      </c>
      <c r="B27" s="2" t="s">
        <v>166</v>
      </c>
      <c r="C27" s="2" t="s">
        <v>147</v>
      </c>
      <c r="D27" s="2">
        <v>6.89</v>
      </c>
      <c r="E27" s="2">
        <v>0</v>
      </c>
      <c r="F27" s="6">
        <f t="shared" si="0"/>
        <v>0</v>
      </c>
      <c r="G27" s="2" t="s">
        <v>125</v>
      </c>
      <c r="H27" s="2">
        <v>6</v>
      </c>
      <c r="I27" s="2" t="s">
        <v>154</v>
      </c>
      <c r="J27" s="2">
        <v>0</v>
      </c>
      <c r="K27" s="2" t="s">
        <v>154</v>
      </c>
      <c r="L27" s="7" t="str">
        <f>IF(R27="Yes",Ref_Assumptions!$C$8,"–")</f>
        <v>–</v>
      </c>
      <c r="M27" s="7" t="str">
        <f>IF(R27="Yes",Ref_Assumptions!$C$9,"–")</f>
        <v>–</v>
      </c>
      <c r="N27" s="7" t="str">
        <f>IF(R27="Yes",Ref_Assumptions!$C$10,"–")</f>
        <v>–</v>
      </c>
      <c r="O27" s="2">
        <v>70</v>
      </c>
      <c r="P27" s="2">
        <v>40</v>
      </c>
      <c r="Q27" s="2" t="s">
        <v>128</v>
      </c>
      <c r="R27" s="2" t="s">
        <v>129</v>
      </c>
      <c r="S27" s="7">
        <f>IF(R27="Yes",Ref_Assumptions!$C$2,Ref_Assumptions!$C$4)</f>
        <v>0</v>
      </c>
      <c r="T27" s="7">
        <f>IF(R27="Yes",Ref_Assumptions!$C$3,Ref_Assumptions!$C$4)</f>
        <v>0</v>
      </c>
      <c r="U27" s="4">
        <f t="shared" si="1"/>
        <v>0</v>
      </c>
      <c r="V27" s="7">
        <f>Ref_Assumptions!$C$5</f>
        <v>0.3</v>
      </c>
      <c r="W27" s="2">
        <v>0</v>
      </c>
      <c r="X27" s="2">
        <v>0</v>
      </c>
      <c r="Y27" s="2" t="s">
        <v>130</v>
      </c>
      <c r="Z27" s="2">
        <v>20</v>
      </c>
    </row>
    <row r="28" spans="1:26" ht="23.25" x14ac:dyDescent="0.45">
      <c r="A28" s="2" t="s">
        <v>122</v>
      </c>
      <c r="B28" s="2" t="s">
        <v>167</v>
      </c>
      <c r="C28" s="2" t="s">
        <v>152</v>
      </c>
      <c r="D28" s="2">
        <v>20.86</v>
      </c>
      <c r="E28" s="2">
        <v>0</v>
      </c>
      <c r="F28" s="6">
        <f t="shared" si="0"/>
        <v>0</v>
      </c>
      <c r="G28" s="2" t="s">
        <v>125</v>
      </c>
      <c r="H28" s="2">
        <v>6</v>
      </c>
      <c r="I28" s="2" t="s">
        <v>126</v>
      </c>
      <c r="J28" s="2">
        <v>2</v>
      </c>
      <c r="K28" s="2" t="s">
        <v>127</v>
      </c>
      <c r="L28" s="7">
        <f>IF(R28="Yes",Ref_Assumptions!$C$8,"–")</f>
        <v>20</v>
      </c>
      <c r="M28" s="7">
        <f>IF(R28="Yes",Ref_Assumptions!$C$9,"–")</f>
        <v>15</v>
      </c>
      <c r="N28" s="7">
        <f>IF(R28="Yes",Ref_Assumptions!$C$10,"–")</f>
        <v>26</v>
      </c>
      <c r="O28" s="2">
        <v>70</v>
      </c>
      <c r="P28" s="2">
        <v>40</v>
      </c>
      <c r="Q28" s="2" t="s">
        <v>134</v>
      </c>
      <c r="R28" s="2" t="s">
        <v>135</v>
      </c>
      <c r="S28" s="7">
        <f>IF(R28="Yes",Ref_Assumptions!$C$2,Ref_Assumptions!$C$4)</f>
        <v>10</v>
      </c>
      <c r="T28" s="7">
        <f>IF(R28="Yes",Ref_Assumptions!$C$3,Ref_Assumptions!$C$4)</f>
        <v>0.6</v>
      </c>
      <c r="U28" s="4">
        <f t="shared" si="1"/>
        <v>45.057600000000001</v>
      </c>
      <c r="V28" s="7">
        <f>Ref_Assumptions!$C$5</f>
        <v>0.3</v>
      </c>
      <c r="W28" s="2">
        <v>0</v>
      </c>
      <c r="X28" s="2">
        <v>0</v>
      </c>
      <c r="Y28" s="2" t="s">
        <v>130</v>
      </c>
      <c r="Z28" s="2">
        <v>20</v>
      </c>
    </row>
    <row r="29" spans="1:26" ht="23.25" x14ac:dyDescent="0.45">
      <c r="A29" s="2" t="s">
        <v>122</v>
      </c>
      <c r="B29" s="2" t="s">
        <v>168</v>
      </c>
      <c r="C29" s="2" t="s">
        <v>147</v>
      </c>
      <c r="D29" s="2">
        <v>70.400000000000006</v>
      </c>
      <c r="E29" s="2">
        <v>0</v>
      </c>
      <c r="F29" s="6">
        <f t="shared" si="0"/>
        <v>0</v>
      </c>
      <c r="G29" s="2" t="s">
        <v>125</v>
      </c>
      <c r="H29" s="2">
        <v>6</v>
      </c>
      <c r="I29" s="2" t="s">
        <v>154</v>
      </c>
      <c r="J29" s="2">
        <v>0</v>
      </c>
      <c r="K29" s="2" t="s">
        <v>154</v>
      </c>
      <c r="L29" s="7" t="str">
        <f>IF(R29="Yes",Ref_Assumptions!$C$8,"–")</f>
        <v>–</v>
      </c>
      <c r="M29" s="7" t="str">
        <f>IF(R29="Yes",Ref_Assumptions!$C$9,"–")</f>
        <v>–</v>
      </c>
      <c r="N29" s="7" t="str">
        <f>IF(R29="Yes",Ref_Assumptions!$C$10,"–")</f>
        <v>–</v>
      </c>
      <c r="O29" s="2">
        <v>70</v>
      </c>
      <c r="P29" s="2">
        <v>40</v>
      </c>
      <c r="Q29" s="2" t="s">
        <v>128</v>
      </c>
      <c r="R29" s="2" t="s">
        <v>129</v>
      </c>
      <c r="S29" s="7">
        <f>IF(R29="Yes",Ref_Assumptions!$C$2,Ref_Assumptions!$C$4)</f>
        <v>0</v>
      </c>
      <c r="T29" s="7">
        <f>IF(R29="Yes",Ref_Assumptions!$C$3,Ref_Assumptions!$C$4)</f>
        <v>0</v>
      </c>
      <c r="U29" s="4">
        <f t="shared" si="1"/>
        <v>0</v>
      </c>
      <c r="V29" s="7">
        <f>Ref_Assumptions!$C$5</f>
        <v>0.3</v>
      </c>
      <c r="W29" s="2">
        <v>0</v>
      </c>
      <c r="X29" s="2">
        <v>0</v>
      </c>
      <c r="Y29" s="2" t="s">
        <v>130</v>
      </c>
      <c r="Z29" s="2">
        <v>20</v>
      </c>
    </row>
    <row r="30" spans="1:26" ht="23.25" x14ac:dyDescent="0.45">
      <c r="A30" s="2" t="s">
        <v>122</v>
      </c>
      <c r="B30" s="2" t="s">
        <v>169</v>
      </c>
      <c r="C30" s="2" t="s">
        <v>147</v>
      </c>
      <c r="D30" s="2">
        <v>651.44000000000005</v>
      </c>
      <c r="E30" s="2">
        <v>0</v>
      </c>
      <c r="F30" s="6">
        <f t="shared" si="0"/>
        <v>0</v>
      </c>
      <c r="G30" s="2" t="s">
        <v>125</v>
      </c>
      <c r="H30" s="2">
        <v>6</v>
      </c>
      <c r="I30" s="2" t="s">
        <v>154</v>
      </c>
      <c r="J30" s="2">
        <v>0</v>
      </c>
      <c r="K30" s="2" t="s">
        <v>154</v>
      </c>
      <c r="L30" s="7" t="str">
        <f>IF(R30="Yes",Ref_Assumptions!$C$8,"–")</f>
        <v>–</v>
      </c>
      <c r="M30" s="7" t="str">
        <f>IF(R30="Yes",Ref_Assumptions!$C$9,"–")</f>
        <v>–</v>
      </c>
      <c r="N30" s="7" t="str">
        <f>IF(R30="Yes",Ref_Assumptions!$C$10,"–")</f>
        <v>–</v>
      </c>
      <c r="O30" s="2">
        <v>70</v>
      </c>
      <c r="P30" s="2">
        <v>40</v>
      </c>
      <c r="Q30" s="2" t="s">
        <v>128</v>
      </c>
      <c r="R30" s="2" t="s">
        <v>129</v>
      </c>
      <c r="S30" s="7">
        <f>IF(R30="Yes",Ref_Assumptions!$C$2,Ref_Assumptions!$C$4)</f>
        <v>0</v>
      </c>
      <c r="T30" s="7">
        <f>IF(R30="Yes",Ref_Assumptions!$C$3,Ref_Assumptions!$C$4)</f>
        <v>0</v>
      </c>
      <c r="U30" s="4">
        <f t="shared" si="1"/>
        <v>0</v>
      </c>
      <c r="V30" s="7">
        <f>Ref_Assumptions!$C$5</f>
        <v>0.3</v>
      </c>
      <c r="W30" s="2">
        <v>0</v>
      </c>
      <c r="X30" s="2">
        <v>0</v>
      </c>
      <c r="Y30" s="2" t="s">
        <v>130</v>
      </c>
      <c r="Z30" s="2">
        <v>20</v>
      </c>
    </row>
    <row r="31" spans="1:26" ht="23.25" x14ac:dyDescent="0.45">
      <c r="A31" s="2" t="s">
        <v>122</v>
      </c>
      <c r="B31" s="2" t="s">
        <v>170</v>
      </c>
      <c r="C31" s="2" t="s">
        <v>161</v>
      </c>
      <c r="D31" s="2">
        <v>109.8</v>
      </c>
      <c r="E31" s="2">
        <v>0.6</v>
      </c>
      <c r="F31" s="6">
        <f t="shared" si="0"/>
        <v>65.88</v>
      </c>
      <c r="G31" s="2" t="s">
        <v>171</v>
      </c>
      <c r="H31" s="2">
        <v>6</v>
      </c>
      <c r="I31" s="2" t="s">
        <v>126</v>
      </c>
      <c r="J31" s="2">
        <v>2</v>
      </c>
      <c r="K31" s="2" t="s">
        <v>127</v>
      </c>
      <c r="L31" s="7">
        <f>IF(R31="Yes",Ref_Assumptions!$C$8,"–")</f>
        <v>20</v>
      </c>
      <c r="M31" s="7">
        <f>IF(R31="Yes",Ref_Assumptions!$C$9,"–")</f>
        <v>15</v>
      </c>
      <c r="N31" s="7">
        <f>IF(R31="Yes",Ref_Assumptions!$C$10,"–")</f>
        <v>26</v>
      </c>
      <c r="O31" s="2">
        <v>70</v>
      </c>
      <c r="P31" s="2">
        <v>40</v>
      </c>
      <c r="Q31" s="2" t="s">
        <v>134</v>
      </c>
      <c r="R31" s="2" t="s">
        <v>135</v>
      </c>
      <c r="S31" s="7">
        <f>IF(R31="Yes",Ref_Assumptions!$C$2,Ref_Assumptions!$C$4)</f>
        <v>10</v>
      </c>
      <c r="T31" s="7">
        <f>IF(R31="Yes",Ref_Assumptions!$C$3,Ref_Assumptions!$C$4)</f>
        <v>0.6</v>
      </c>
      <c r="U31" s="4">
        <f t="shared" si="1"/>
        <v>2608.848</v>
      </c>
      <c r="V31" s="7">
        <f>Ref_Assumptions!$C$5</f>
        <v>0.3</v>
      </c>
      <c r="W31" s="2">
        <v>7</v>
      </c>
      <c r="X31" s="2">
        <v>5.2642100000000003</v>
      </c>
      <c r="Y31" s="2" t="s">
        <v>130</v>
      </c>
      <c r="Z31" s="2">
        <v>20</v>
      </c>
    </row>
    <row r="32" spans="1:26" ht="23.25" x14ac:dyDescent="0.45">
      <c r="A32" s="2" t="s">
        <v>122</v>
      </c>
      <c r="B32" s="2" t="s">
        <v>172</v>
      </c>
      <c r="C32" s="2" t="s">
        <v>173</v>
      </c>
      <c r="D32" s="2">
        <v>18.920000000000002</v>
      </c>
      <c r="E32" s="2">
        <v>0.3</v>
      </c>
      <c r="F32" s="6">
        <f t="shared" si="0"/>
        <v>5.6760000000000002</v>
      </c>
      <c r="G32" s="2" t="s">
        <v>125</v>
      </c>
      <c r="H32" s="2">
        <v>6</v>
      </c>
      <c r="I32" s="2" t="s">
        <v>126</v>
      </c>
      <c r="J32" s="2">
        <v>2</v>
      </c>
      <c r="K32" s="2" t="s">
        <v>127</v>
      </c>
      <c r="L32" s="7">
        <f>IF(R32="Yes",Ref_Assumptions!$C$8,"–")</f>
        <v>20</v>
      </c>
      <c r="M32" s="7">
        <f>IF(R32="Yes",Ref_Assumptions!$C$9,"–")</f>
        <v>15</v>
      </c>
      <c r="N32" s="7">
        <f>IF(R32="Yes",Ref_Assumptions!$C$10,"–")</f>
        <v>26</v>
      </c>
      <c r="O32" s="2">
        <v>70</v>
      </c>
      <c r="P32" s="2">
        <v>40</v>
      </c>
      <c r="Q32" s="2" t="s">
        <v>134</v>
      </c>
      <c r="R32" s="2" t="s">
        <v>135</v>
      </c>
      <c r="S32" s="7">
        <f>IF(R32="Yes",Ref_Assumptions!$C$2,Ref_Assumptions!$C$4)</f>
        <v>10</v>
      </c>
      <c r="T32" s="7">
        <f>IF(R32="Yes",Ref_Assumptions!$C$3,Ref_Assumptions!$C$4)</f>
        <v>0.6</v>
      </c>
      <c r="U32" s="4">
        <f t="shared" si="1"/>
        <v>245.20320000000004</v>
      </c>
      <c r="V32" s="7">
        <f>Ref_Assumptions!$C$5</f>
        <v>0.3</v>
      </c>
      <c r="W32" s="2">
        <v>7</v>
      </c>
      <c r="X32" s="2">
        <v>1.8633500000000001</v>
      </c>
      <c r="Y32" s="2" t="s">
        <v>130</v>
      </c>
      <c r="Z32" s="2">
        <v>20</v>
      </c>
    </row>
    <row r="33" spans="1:26" ht="23.25" x14ac:dyDescent="0.45">
      <c r="A33" s="2" t="s">
        <v>122</v>
      </c>
      <c r="B33" s="2" t="s">
        <v>174</v>
      </c>
      <c r="C33" s="2" t="s">
        <v>173</v>
      </c>
      <c r="D33" s="2">
        <v>59.15</v>
      </c>
      <c r="E33" s="2">
        <v>0.3</v>
      </c>
      <c r="F33" s="6">
        <f t="shared" si="0"/>
        <v>17.744999999999997</v>
      </c>
      <c r="G33" s="2" t="s">
        <v>125</v>
      </c>
      <c r="H33" s="2">
        <v>6</v>
      </c>
      <c r="I33" s="2" t="s">
        <v>126</v>
      </c>
      <c r="J33" s="2">
        <v>2</v>
      </c>
      <c r="K33" s="2" t="s">
        <v>127</v>
      </c>
      <c r="L33" s="7">
        <f>IF(R33="Yes",Ref_Assumptions!$C$8,"–")</f>
        <v>20</v>
      </c>
      <c r="M33" s="7">
        <f>IF(R33="Yes",Ref_Assumptions!$C$9,"–")</f>
        <v>15</v>
      </c>
      <c r="N33" s="7">
        <f>IF(R33="Yes",Ref_Assumptions!$C$10,"–")</f>
        <v>26</v>
      </c>
      <c r="O33" s="2">
        <v>70</v>
      </c>
      <c r="P33" s="2">
        <v>40</v>
      </c>
      <c r="Q33" s="2" t="s">
        <v>134</v>
      </c>
      <c r="R33" s="2" t="s">
        <v>135</v>
      </c>
      <c r="S33" s="7">
        <f>IF(R33="Yes",Ref_Assumptions!$C$2,Ref_Assumptions!$C$4)</f>
        <v>10</v>
      </c>
      <c r="T33" s="7">
        <f>IF(R33="Yes",Ref_Assumptions!$C$3,Ref_Assumptions!$C$4)</f>
        <v>0.6</v>
      </c>
      <c r="U33" s="4">
        <f t="shared" si="1"/>
        <v>766.58400000000006</v>
      </c>
      <c r="V33" s="7">
        <f>Ref_Assumptions!$C$5</f>
        <v>0.3</v>
      </c>
      <c r="W33" s="2">
        <v>7</v>
      </c>
      <c r="X33" s="2">
        <v>1.7925599999999999</v>
      </c>
      <c r="Y33" s="2" t="s">
        <v>130</v>
      </c>
      <c r="Z33" s="2">
        <v>20</v>
      </c>
    </row>
    <row r="34" spans="1:26" ht="23.25" x14ac:dyDescent="0.45">
      <c r="A34" s="2" t="s">
        <v>122</v>
      </c>
      <c r="B34" s="2" t="s">
        <v>175</v>
      </c>
      <c r="C34" s="2" t="s">
        <v>173</v>
      </c>
      <c r="D34" s="2">
        <v>121.81</v>
      </c>
      <c r="E34" s="2">
        <v>0.3</v>
      </c>
      <c r="F34" s="6">
        <f t="shared" ref="F34:F65" si="2">D34*E34</f>
        <v>36.542999999999999</v>
      </c>
      <c r="G34" s="2" t="s">
        <v>125</v>
      </c>
      <c r="H34" s="2">
        <v>6</v>
      </c>
      <c r="I34" s="2" t="s">
        <v>126</v>
      </c>
      <c r="J34" s="2">
        <v>2</v>
      </c>
      <c r="K34" s="2" t="s">
        <v>127</v>
      </c>
      <c r="L34" s="7">
        <f>IF(R34="Yes",Ref_Assumptions!$C$8,"–")</f>
        <v>20</v>
      </c>
      <c r="M34" s="7">
        <f>IF(R34="Yes",Ref_Assumptions!$C$9,"–")</f>
        <v>15</v>
      </c>
      <c r="N34" s="7">
        <f>IF(R34="Yes",Ref_Assumptions!$C$10,"–")</f>
        <v>26</v>
      </c>
      <c r="O34" s="2">
        <v>70</v>
      </c>
      <c r="P34" s="2">
        <v>40</v>
      </c>
      <c r="Q34" s="2" t="s">
        <v>134</v>
      </c>
      <c r="R34" s="2" t="s">
        <v>135</v>
      </c>
      <c r="S34" s="7">
        <f>IF(R34="Yes",Ref_Assumptions!$C$2,Ref_Assumptions!$C$4)</f>
        <v>10</v>
      </c>
      <c r="T34" s="7">
        <f>IF(R34="Yes",Ref_Assumptions!$C$3,Ref_Assumptions!$C$4)</f>
        <v>0.6</v>
      </c>
      <c r="U34" s="4">
        <f t="shared" ref="U34:U65" si="3">(F34*S34+D34*T34)*3.6</f>
        <v>1578.6576</v>
      </c>
      <c r="V34" s="7">
        <f>Ref_Assumptions!$C$5</f>
        <v>0.3</v>
      </c>
      <c r="W34" s="2">
        <v>7</v>
      </c>
      <c r="X34" s="2">
        <v>1.76183</v>
      </c>
      <c r="Y34" s="2" t="s">
        <v>130</v>
      </c>
      <c r="Z34" s="2">
        <v>20</v>
      </c>
    </row>
    <row r="35" spans="1:26" ht="23.25" x14ac:dyDescent="0.45">
      <c r="A35" s="2" t="s">
        <v>122</v>
      </c>
      <c r="B35" s="2" t="s">
        <v>176</v>
      </c>
      <c r="C35" s="2" t="s">
        <v>173</v>
      </c>
      <c r="D35" s="2">
        <v>39.96</v>
      </c>
      <c r="E35" s="2">
        <v>0.3</v>
      </c>
      <c r="F35" s="6">
        <f t="shared" si="2"/>
        <v>11.988</v>
      </c>
      <c r="G35" s="2" t="s">
        <v>125</v>
      </c>
      <c r="H35" s="2">
        <v>6</v>
      </c>
      <c r="I35" s="2" t="s">
        <v>126</v>
      </c>
      <c r="J35" s="2">
        <v>2</v>
      </c>
      <c r="K35" s="2" t="s">
        <v>127</v>
      </c>
      <c r="L35" s="7">
        <f>IF(R35="Yes",Ref_Assumptions!$C$8,"–")</f>
        <v>20</v>
      </c>
      <c r="M35" s="7">
        <f>IF(R35="Yes",Ref_Assumptions!$C$9,"–")</f>
        <v>15</v>
      </c>
      <c r="N35" s="7">
        <f>IF(R35="Yes",Ref_Assumptions!$C$10,"–")</f>
        <v>26</v>
      </c>
      <c r="O35" s="2">
        <v>70</v>
      </c>
      <c r="P35" s="2">
        <v>40</v>
      </c>
      <c r="Q35" s="2" t="s">
        <v>134</v>
      </c>
      <c r="R35" s="2" t="s">
        <v>135</v>
      </c>
      <c r="S35" s="7">
        <f>IF(R35="Yes",Ref_Assumptions!$C$2,Ref_Assumptions!$C$4)</f>
        <v>10</v>
      </c>
      <c r="T35" s="7">
        <f>IF(R35="Yes",Ref_Assumptions!$C$3,Ref_Assumptions!$C$4)</f>
        <v>0.6</v>
      </c>
      <c r="U35" s="4">
        <f t="shared" si="3"/>
        <v>517.88160000000005</v>
      </c>
      <c r="V35" s="7">
        <f>Ref_Assumptions!$C$5</f>
        <v>0.3</v>
      </c>
      <c r="W35" s="2">
        <v>7</v>
      </c>
      <c r="X35" s="2">
        <v>1.68506</v>
      </c>
      <c r="Y35" s="2" t="s">
        <v>130</v>
      </c>
      <c r="Z35" s="2">
        <v>20</v>
      </c>
    </row>
    <row r="36" spans="1:26" ht="23.25" x14ac:dyDescent="0.45">
      <c r="A36" s="2" t="s">
        <v>122</v>
      </c>
      <c r="B36" s="2" t="s">
        <v>177</v>
      </c>
      <c r="C36" s="2" t="s">
        <v>173</v>
      </c>
      <c r="D36" s="2">
        <v>22.76</v>
      </c>
      <c r="E36" s="2">
        <v>0.3</v>
      </c>
      <c r="F36" s="6">
        <f t="shared" si="2"/>
        <v>6.8280000000000003</v>
      </c>
      <c r="G36" s="2" t="s">
        <v>125</v>
      </c>
      <c r="H36" s="2">
        <v>6</v>
      </c>
      <c r="I36" s="2" t="s">
        <v>126</v>
      </c>
      <c r="J36" s="2">
        <v>2</v>
      </c>
      <c r="K36" s="2" t="s">
        <v>127</v>
      </c>
      <c r="L36" s="7">
        <f>IF(R36="Yes",Ref_Assumptions!$C$8,"–")</f>
        <v>20</v>
      </c>
      <c r="M36" s="7">
        <f>IF(R36="Yes",Ref_Assumptions!$C$9,"–")</f>
        <v>15</v>
      </c>
      <c r="N36" s="7">
        <f>IF(R36="Yes",Ref_Assumptions!$C$10,"–")</f>
        <v>26</v>
      </c>
      <c r="O36" s="2">
        <v>70</v>
      </c>
      <c r="P36" s="2">
        <v>40</v>
      </c>
      <c r="Q36" s="2" t="s">
        <v>134</v>
      </c>
      <c r="R36" s="2" t="s">
        <v>135</v>
      </c>
      <c r="S36" s="7">
        <f>IF(R36="Yes",Ref_Assumptions!$C$2,Ref_Assumptions!$C$4)</f>
        <v>10</v>
      </c>
      <c r="T36" s="7">
        <f>IF(R36="Yes",Ref_Assumptions!$C$3,Ref_Assumptions!$C$4)</f>
        <v>0.6</v>
      </c>
      <c r="U36" s="4">
        <f t="shared" si="3"/>
        <v>294.96960000000001</v>
      </c>
      <c r="V36" s="7">
        <f>Ref_Assumptions!$C$5</f>
        <v>0.3</v>
      </c>
      <c r="W36" s="2">
        <v>7</v>
      </c>
      <c r="X36" s="2">
        <v>1.47905</v>
      </c>
      <c r="Y36" s="2" t="s">
        <v>130</v>
      </c>
      <c r="Z36" s="2">
        <v>20</v>
      </c>
    </row>
    <row r="37" spans="1:26" ht="23.25" x14ac:dyDescent="0.45">
      <c r="A37" s="2" t="s">
        <v>122</v>
      </c>
      <c r="B37" s="2" t="s">
        <v>178</v>
      </c>
      <c r="C37" s="2" t="s">
        <v>161</v>
      </c>
      <c r="D37" s="2">
        <v>181.84</v>
      </c>
      <c r="E37" s="2">
        <v>0.6</v>
      </c>
      <c r="F37" s="6">
        <f t="shared" si="2"/>
        <v>109.104</v>
      </c>
      <c r="G37" s="2" t="s">
        <v>179</v>
      </c>
      <c r="H37" s="2">
        <v>6</v>
      </c>
      <c r="I37" s="2" t="s">
        <v>126</v>
      </c>
      <c r="J37" s="2">
        <v>2</v>
      </c>
      <c r="K37" s="2" t="s">
        <v>127</v>
      </c>
      <c r="L37" s="7">
        <f>IF(R37="Yes",Ref_Assumptions!$C$8,"–")</f>
        <v>20</v>
      </c>
      <c r="M37" s="7">
        <f>IF(R37="Yes",Ref_Assumptions!$C$9,"–")</f>
        <v>15</v>
      </c>
      <c r="N37" s="7">
        <f>IF(R37="Yes",Ref_Assumptions!$C$10,"–")</f>
        <v>26</v>
      </c>
      <c r="O37" s="2">
        <v>70</v>
      </c>
      <c r="P37" s="2">
        <v>40</v>
      </c>
      <c r="Q37" s="2" t="s">
        <v>134</v>
      </c>
      <c r="R37" s="2" t="s">
        <v>135</v>
      </c>
      <c r="S37" s="7">
        <f>IF(R37="Yes",Ref_Assumptions!$C$2,Ref_Assumptions!$C$4)</f>
        <v>10</v>
      </c>
      <c r="T37" s="7">
        <f>IF(R37="Yes",Ref_Assumptions!$C$3,Ref_Assumptions!$C$4)</f>
        <v>0.6</v>
      </c>
      <c r="U37" s="4">
        <f t="shared" si="3"/>
        <v>4320.5183999999999</v>
      </c>
      <c r="V37" s="7">
        <f>Ref_Assumptions!$C$5</f>
        <v>0.3</v>
      </c>
      <c r="W37" s="2">
        <v>7</v>
      </c>
      <c r="X37" s="2">
        <v>0.33794000000000002</v>
      </c>
      <c r="Y37" s="2" t="s">
        <v>130</v>
      </c>
      <c r="Z37" s="2">
        <v>20</v>
      </c>
    </row>
    <row r="38" spans="1:26" ht="23.25" x14ac:dyDescent="0.45">
      <c r="A38" s="2" t="s">
        <v>122</v>
      </c>
      <c r="B38" s="2" t="s">
        <v>180</v>
      </c>
      <c r="C38" s="2" t="s">
        <v>161</v>
      </c>
      <c r="D38" s="2">
        <v>184.06</v>
      </c>
      <c r="E38" s="2">
        <v>0.6</v>
      </c>
      <c r="F38" s="6">
        <f t="shared" si="2"/>
        <v>110.43599999999999</v>
      </c>
      <c r="G38" s="2" t="s">
        <v>181</v>
      </c>
      <c r="H38" s="2">
        <v>6</v>
      </c>
      <c r="I38" s="2" t="s">
        <v>126</v>
      </c>
      <c r="J38" s="2">
        <v>2</v>
      </c>
      <c r="K38" s="2" t="s">
        <v>127</v>
      </c>
      <c r="L38" s="7">
        <f>IF(R38="Yes",Ref_Assumptions!$C$8,"–")</f>
        <v>20</v>
      </c>
      <c r="M38" s="7">
        <f>IF(R38="Yes",Ref_Assumptions!$C$9,"–")</f>
        <v>15</v>
      </c>
      <c r="N38" s="7">
        <f>IF(R38="Yes",Ref_Assumptions!$C$10,"–")</f>
        <v>26</v>
      </c>
      <c r="O38" s="2">
        <v>70</v>
      </c>
      <c r="P38" s="2">
        <v>40</v>
      </c>
      <c r="Q38" s="2" t="s">
        <v>134</v>
      </c>
      <c r="R38" s="2" t="s">
        <v>135</v>
      </c>
      <c r="S38" s="7">
        <f>IF(R38="Yes",Ref_Assumptions!$C$2,Ref_Assumptions!$C$4)</f>
        <v>10</v>
      </c>
      <c r="T38" s="7">
        <f>IF(R38="Yes",Ref_Assumptions!$C$3,Ref_Assumptions!$C$4)</f>
        <v>0.6</v>
      </c>
      <c r="U38" s="4">
        <f t="shared" si="3"/>
        <v>4373.2655999999997</v>
      </c>
      <c r="V38" s="7">
        <f>Ref_Assumptions!$C$5</f>
        <v>0.3</v>
      </c>
      <c r="W38" s="2">
        <v>7</v>
      </c>
      <c r="X38" s="2">
        <v>3.3067000000000002</v>
      </c>
      <c r="Y38" s="2" t="s">
        <v>130</v>
      </c>
      <c r="Z38" s="2">
        <v>20</v>
      </c>
    </row>
    <row r="39" spans="1:26" ht="23.25" x14ac:dyDescent="0.45">
      <c r="A39" s="2" t="s">
        <v>122</v>
      </c>
      <c r="B39" s="2" t="s">
        <v>182</v>
      </c>
      <c r="C39" s="2" t="s">
        <v>161</v>
      </c>
      <c r="D39" s="2">
        <v>183.32</v>
      </c>
      <c r="E39" s="2">
        <v>0.6</v>
      </c>
      <c r="F39" s="6">
        <f t="shared" si="2"/>
        <v>109.99199999999999</v>
      </c>
      <c r="G39" s="2" t="s">
        <v>183</v>
      </c>
      <c r="H39" s="2">
        <v>6</v>
      </c>
      <c r="I39" s="2" t="s">
        <v>126</v>
      </c>
      <c r="J39" s="2">
        <v>2</v>
      </c>
      <c r="K39" s="2" t="s">
        <v>127</v>
      </c>
      <c r="L39" s="7">
        <f>IF(R39="Yes",Ref_Assumptions!$C$8,"–")</f>
        <v>20</v>
      </c>
      <c r="M39" s="7">
        <f>IF(R39="Yes",Ref_Assumptions!$C$9,"–")</f>
        <v>15</v>
      </c>
      <c r="N39" s="7">
        <f>IF(R39="Yes",Ref_Assumptions!$C$10,"–")</f>
        <v>26</v>
      </c>
      <c r="O39" s="2">
        <v>70</v>
      </c>
      <c r="P39" s="2">
        <v>40</v>
      </c>
      <c r="Q39" s="2" t="s">
        <v>134</v>
      </c>
      <c r="R39" s="2" t="s">
        <v>135</v>
      </c>
      <c r="S39" s="7">
        <f>IF(R39="Yes",Ref_Assumptions!$C$2,Ref_Assumptions!$C$4)</f>
        <v>10</v>
      </c>
      <c r="T39" s="7">
        <f>IF(R39="Yes",Ref_Assumptions!$C$3,Ref_Assumptions!$C$4)</f>
        <v>0.6</v>
      </c>
      <c r="U39" s="4">
        <f t="shared" si="3"/>
        <v>4355.6831999999995</v>
      </c>
      <c r="V39" s="7">
        <f>Ref_Assumptions!$C$5</f>
        <v>0.3</v>
      </c>
      <c r="W39" s="2">
        <v>7</v>
      </c>
      <c r="X39" s="2">
        <v>4.4077099999999998</v>
      </c>
      <c r="Y39" s="2" t="s">
        <v>130</v>
      </c>
      <c r="Z39" s="2">
        <v>20</v>
      </c>
    </row>
    <row r="40" spans="1:26" ht="23.25" x14ac:dyDescent="0.45">
      <c r="A40" s="2" t="s">
        <v>122</v>
      </c>
      <c r="B40" s="2" t="s">
        <v>184</v>
      </c>
      <c r="C40" s="2" t="s">
        <v>161</v>
      </c>
      <c r="D40" s="2">
        <v>182.71</v>
      </c>
      <c r="E40" s="2">
        <v>0.6</v>
      </c>
      <c r="F40" s="6">
        <f t="shared" si="2"/>
        <v>109.626</v>
      </c>
      <c r="G40" s="2" t="s">
        <v>185</v>
      </c>
      <c r="H40" s="2">
        <v>6</v>
      </c>
      <c r="I40" s="2" t="s">
        <v>126</v>
      </c>
      <c r="J40" s="2">
        <v>2</v>
      </c>
      <c r="K40" s="2" t="s">
        <v>127</v>
      </c>
      <c r="L40" s="7">
        <f>IF(R40="Yes",Ref_Assumptions!$C$8,"–")</f>
        <v>20</v>
      </c>
      <c r="M40" s="7">
        <f>IF(R40="Yes",Ref_Assumptions!$C$9,"–")</f>
        <v>15</v>
      </c>
      <c r="N40" s="7">
        <f>IF(R40="Yes",Ref_Assumptions!$C$10,"–")</f>
        <v>26</v>
      </c>
      <c r="O40" s="2">
        <v>70</v>
      </c>
      <c r="P40" s="2">
        <v>40</v>
      </c>
      <c r="Q40" s="2" t="s">
        <v>134</v>
      </c>
      <c r="R40" s="2" t="s">
        <v>135</v>
      </c>
      <c r="S40" s="7">
        <f>IF(R40="Yes",Ref_Assumptions!$C$2,Ref_Assumptions!$C$4)</f>
        <v>10</v>
      </c>
      <c r="T40" s="7">
        <f>IF(R40="Yes",Ref_Assumptions!$C$3,Ref_Assumptions!$C$4)</f>
        <v>0.6</v>
      </c>
      <c r="U40" s="4">
        <f t="shared" si="3"/>
        <v>4341.1895999999997</v>
      </c>
      <c r="V40" s="7">
        <f>Ref_Assumptions!$C$5</f>
        <v>0.3</v>
      </c>
      <c r="W40" s="2">
        <v>7</v>
      </c>
      <c r="X40" s="2">
        <v>4.2903399999999996</v>
      </c>
      <c r="Y40" s="2" t="s">
        <v>130</v>
      </c>
      <c r="Z40" s="2">
        <v>20</v>
      </c>
    </row>
    <row r="41" spans="1:26" ht="23.25" x14ac:dyDescent="0.45">
      <c r="A41" s="2" t="s">
        <v>122</v>
      </c>
      <c r="B41" s="2" t="s">
        <v>186</v>
      </c>
      <c r="C41" s="2" t="s">
        <v>161</v>
      </c>
      <c r="D41" s="2">
        <v>109.33</v>
      </c>
      <c r="E41" s="2">
        <v>0.6</v>
      </c>
      <c r="F41" s="6">
        <f t="shared" si="2"/>
        <v>65.597999999999999</v>
      </c>
      <c r="G41" s="2" t="s">
        <v>187</v>
      </c>
      <c r="H41" s="2">
        <v>6</v>
      </c>
      <c r="I41" s="2" t="s">
        <v>126</v>
      </c>
      <c r="J41" s="2">
        <v>2</v>
      </c>
      <c r="K41" s="2" t="s">
        <v>127</v>
      </c>
      <c r="L41" s="7">
        <f>IF(R41="Yes",Ref_Assumptions!$C$8,"–")</f>
        <v>20</v>
      </c>
      <c r="M41" s="7">
        <f>IF(R41="Yes",Ref_Assumptions!$C$9,"–")</f>
        <v>15</v>
      </c>
      <c r="N41" s="7">
        <f>IF(R41="Yes",Ref_Assumptions!$C$10,"–")</f>
        <v>26</v>
      </c>
      <c r="O41" s="2">
        <v>70</v>
      </c>
      <c r="P41" s="2">
        <v>40</v>
      </c>
      <c r="Q41" s="2" t="s">
        <v>134</v>
      </c>
      <c r="R41" s="2" t="s">
        <v>135</v>
      </c>
      <c r="S41" s="7">
        <f>IF(R41="Yes",Ref_Assumptions!$C$2,Ref_Assumptions!$C$4)</f>
        <v>10</v>
      </c>
      <c r="T41" s="7">
        <f>IF(R41="Yes",Ref_Assumptions!$C$3,Ref_Assumptions!$C$4)</f>
        <v>0.6</v>
      </c>
      <c r="U41" s="4">
        <f t="shared" si="3"/>
        <v>2597.6808000000001</v>
      </c>
      <c r="V41" s="7">
        <f>Ref_Assumptions!$C$5</f>
        <v>0.3</v>
      </c>
      <c r="W41" s="2">
        <v>7</v>
      </c>
      <c r="X41" s="2">
        <v>5.3662400000000003</v>
      </c>
      <c r="Y41" s="2" t="s">
        <v>130</v>
      </c>
      <c r="Z41" s="2">
        <v>20</v>
      </c>
    </row>
    <row r="42" spans="1:26" ht="23.25" x14ac:dyDescent="0.45">
      <c r="A42" s="2" t="s">
        <v>122</v>
      </c>
      <c r="B42" s="2" t="s">
        <v>188</v>
      </c>
      <c r="C42" s="2" t="s">
        <v>161</v>
      </c>
      <c r="D42" s="2">
        <v>183.48</v>
      </c>
      <c r="E42" s="2">
        <v>0.6</v>
      </c>
      <c r="F42" s="6">
        <f t="shared" si="2"/>
        <v>110.08799999999999</v>
      </c>
      <c r="G42" s="2" t="s">
        <v>171</v>
      </c>
      <c r="H42" s="2">
        <v>6</v>
      </c>
      <c r="I42" s="2" t="s">
        <v>126</v>
      </c>
      <c r="J42" s="2">
        <v>2</v>
      </c>
      <c r="K42" s="2" t="s">
        <v>127</v>
      </c>
      <c r="L42" s="7">
        <f>IF(R42="Yes",Ref_Assumptions!$C$8,"–")</f>
        <v>20</v>
      </c>
      <c r="M42" s="7">
        <f>IF(R42="Yes",Ref_Assumptions!$C$9,"–")</f>
        <v>15</v>
      </c>
      <c r="N42" s="7">
        <f>IF(R42="Yes",Ref_Assumptions!$C$10,"–")</f>
        <v>26</v>
      </c>
      <c r="O42" s="2">
        <v>70</v>
      </c>
      <c r="P42" s="2">
        <v>40</v>
      </c>
      <c r="Q42" s="2" t="s">
        <v>134</v>
      </c>
      <c r="R42" s="2" t="s">
        <v>135</v>
      </c>
      <c r="S42" s="7">
        <f>IF(R42="Yes",Ref_Assumptions!$C$2,Ref_Assumptions!$C$4)</f>
        <v>10</v>
      </c>
      <c r="T42" s="7">
        <f>IF(R42="Yes",Ref_Assumptions!$C$3,Ref_Assumptions!$C$4)</f>
        <v>0.6</v>
      </c>
      <c r="U42" s="4">
        <f t="shared" si="3"/>
        <v>4359.4847999999993</v>
      </c>
      <c r="V42" s="7">
        <f>Ref_Assumptions!$C$5</f>
        <v>0.3</v>
      </c>
      <c r="W42" s="2">
        <v>7</v>
      </c>
      <c r="X42" s="2">
        <v>4.2742699999999996</v>
      </c>
      <c r="Y42" s="2" t="s">
        <v>130</v>
      </c>
      <c r="Z42" s="2">
        <v>20</v>
      </c>
    </row>
    <row r="43" spans="1:26" ht="23.25" x14ac:dyDescent="0.45">
      <c r="A43" s="2" t="s">
        <v>122</v>
      </c>
      <c r="B43" s="2" t="s">
        <v>189</v>
      </c>
      <c r="C43" s="2" t="s">
        <v>161</v>
      </c>
      <c r="D43" s="2">
        <v>183.32</v>
      </c>
      <c r="E43" s="2">
        <v>0.6</v>
      </c>
      <c r="F43" s="6">
        <f t="shared" si="2"/>
        <v>109.99199999999999</v>
      </c>
      <c r="G43" s="2" t="s">
        <v>190</v>
      </c>
      <c r="H43" s="2">
        <v>6</v>
      </c>
      <c r="I43" s="2" t="s">
        <v>126</v>
      </c>
      <c r="J43" s="2">
        <v>2</v>
      </c>
      <c r="K43" s="2" t="s">
        <v>127</v>
      </c>
      <c r="L43" s="7">
        <f>IF(R43="Yes",Ref_Assumptions!$C$8,"–")</f>
        <v>20</v>
      </c>
      <c r="M43" s="7">
        <f>IF(R43="Yes",Ref_Assumptions!$C$9,"–")</f>
        <v>15</v>
      </c>
      <c r="N43" s="7">
        <f>IF(R43="Yes",Ref_Assumptions!$C$10,"–")</f>
        <v>26</v>
      </c>
      <c r="O43" s="2">
        <v>70</v>
      </c>
      <c r="P43" s="2">
        <v>40</v>
      </c>
      <c r="Q43" s="2" t="s">
        <v>134</v>
      </c>
      <c r="R43" s="2" t="s">
        <v>135</v>
      </c>
      <c r="S43" s="7">
        <f>IF(R43="Yes",Ref_Assumptions!$C$2,Ref_Assumptions!$C$4)</f>
        <v>10</v>
      </c>
      <c r="T43" s="7">
        <f>IF(R43="Yes",Ref_Assumptions!$C$3,Ref_Assumptions!$C$4)</f>
        <v>0.6</v>
      </c>
      <c r="U43" s="4">
        <f t="shared" si="3"/>
        <v>4355.6831999999995</v>
      </c>
      <c r="V43" s="7">
        <f>Ref_Assumptions!$C$5</f>
        <v>0.3</v>
      </c>
      <c r="W43" s="2">
        <v>7</v>
      </c>
      <c r="X43" s="2">
        <v>5.80349</v>
      </c>
      <c r="Y43" s="2" t="s">
        <v>130</v>
      </c>
      <c r="Z43" s="2">
        <v>20</v>
      </c>
    </row>
    <row r="44" spans="1:26" ht="23.25" x14ac:dyDescent="0.45">
      <c r="A44" s="2" t="s">
        <v>122</v>
      </c>
      <c r="B44" s="2" t="s">
        <v>191</v>
      </c>
      <c r="C44" s="2" t="s">
        <v>161</v>
      </c>
      <c r="D44" s="2">
        <v>105.5</v>
      </c>
      <c r="E44" s="2">
        <v>0.6</v>
      </c>
      <c r="F44" s="6">
        <f t="shared" si="2"/>
        <v>63.3</v>
      </c>
      <c r="G44" s="2" t="s">
        <v>192</v>
      </c>
      <c r="H44" s="2">
        <v>6</v>
      </c>
      <c r="I44" s="2" t="s">
        <v>126</v>
      </c>
      <c r="J44" s="2">
        <v>2</v>
      </c>
      <c r="K44" s="2" t="s">
        <v>127</v>
      </c>
      <c r="L44" s="7">
        <f>IF(R44="Yes",Ref_Assumptions!$C$8,"–")</f>
        <v>20</v>
      </c>
      <c r="M44" s="7">
        <f>IF(R44="Yes",Ref_Assumptions!$C$9,"–")</f>
        <v>15</v>
      </c>
      <c r="N44" s="7">
        <f>IF(R44="Yes",Ref_Assumptions!$C$10,"–")</f>
        <v>26</v>
      </c>
      <c r="O44" s="2">
        <v>70</v>
      </c>
      <c r="P44" s="2">
        <v>40</v>
      </c>
      <c r="Q44" s="2" t="s">
        <v>134</v>
      </c>
      <c r="R44" s="2" t="s">
        <v>135</v>
      </c>
      <c r="S44" s="7">
        <f>IF(R44="Yes",Ref_Assumptions!$C$2,Ref_Assumptions!$C$4)</f>
        <v>10</v>
      </c>
      <c r="T44" s="7">
        <f>IF(R44="Yes",Ref_Assumptions!$C$3,Ref_Assumptions!$C$4)</f>
        <v>0.6</v>
      </c>
      <c r="U44" s="4">
        <f t="shared" si="3"/>
        <v>2506.6799999999998</v>
      </c>
      <c r="V44" s="7">
        <f>Ref_Assumptions!$C$5</f>
        <v>0.3</v>
      </c>
      <c r="W44" s="2">
        <v>7</v>
      </c>
      <c r="X44" s="2">
        <v>5.4809700000000001</v>
      </c>
      <c r="Y44" s="2" t="s">
        <v>130</v>
      </c>
      <c r="Z44" s="2">
        <v>20</v>
      </c>
    </row>
    <row r="45" spans="1:26" ht="23.25" x14ac:dyDescent="0.45">
      <c r="A45" s="2" t="s">
        <v>122</v>
      </c>
      <c r="B45" s="2" t="s">
        <v>193</v>
      </c>
      <c r="C45" s="2" t="s">
        <v>152</v>
      </c>
      <c r="D45" s="2">
        <v>5.07</v>
      </c>
      <c r="E45" s="2">
        <v>0</v>
      </c>
      <c r="F45" s="6">
        <f t="shared" si="2"/>
        <v>0</v>
      </c>
      <c r="G45" s="2" t="s">
        <v>125</v>
      </c>
      <c r="H45" s="2">
        <v>6</v>
      </c>
      <c r="I45" s="2" t="s">
        <v>126</v>
      </c>
      <c r="J45" s="2">
        <v>2</v>
      </c>
      <c r="K45" s="2" t="s">
        <v>127</v>
      </c>
      <c r="L45" s="7">
        <f>IF(R45="Yes",Ref_Assumptions!$C$8,"–")</f>
        <v>20</v>
      </c>
      <c r="M45" s="7">
        <f>IF(R45="Yes",Ref_Assumptions!$C$9,"–")</f>
        <v>15</v>
      </c>
      <c r="N45" s="7">
        <f>IF(R45="Yes",Ref_Assumptions!$C$10,"–")</f>
        <v>26</v>
      </c>
      <c r="O45" s="2">
        <v>70</v>
      </c>
      <c r="P45" s="2">
        <v>40</v>
      </c>
      <c r="Q45" s="2" t="s">
        <v>134</v>
      </c>
      <c r="R45" s="2" t="s">
        <v>135</v>
      </c>
      <c r="S45" s="7">
        <f>IF(R45="Yes",Ref_Assumptions!$C$2,Ref_Assumptions!$C$4)</f>
        <v>10</v>
      </c>
      <c r="T45" s="7">
        <f>IF(R45="Yes",Ref_Assumptions!$C$3,Ref_Assumptions!$C$4)</f>
        <v>0.6</v>
      </c>
      <c r="U45" s="4">
        <f t="shared" si="3"/>
        <v>10.951200000000002</v>
      </c>
      <c r="V45" s="7">
        <f>Ref_Assumptions!$C$5</f>
        <v>0.3</v>
      </c>
      <c r="W45" s="2">
        <v>0</v>
      </c>
      <c r="X45" s="2">
        <v>0</v>
      </c>
      <c r="Y45" s="2" t="s">
        <v>130</v>
      </c>
      <c r="Z45" s="2">
        <v>20</v>
      </c>
    </row>
    <row r="46" spans="1:26" ht="23.25" x14ac:dyDescent="0.45">
      <c r="A46" s="2" t="s">
        <v>122</v>
      </c>
      <c r="B46" s="2" t="s">
        <v>194</v>
      </c>
      <c r="C46" s="2" t="s">
        <v>161</v>
      </c>
      <c r="D46" s="2">
        <v>51.28</v>
      </c>
      <c r="E46" s="2">
        <v>0.6</v>
      </c>
      <c r="F46" s="6">
        <f t="shared" si="2"/>
        <v>30.768000000000001</v>
      </c>
      <c r="G46" s="2" t="s">
        <v>125</v>
      </c>
      <c r="H46" s="2">
        <v>6</v>
      </c>
      <c r="I46" s="2" t="s">
        <v>126</v>
      </c>
      <c r="J46" s="2">
        <v>2</v>
      </c>
      <c r="K46" s="2" t="s">
        <v>127</v>
      </c>
      <c r="L46" s="7">
        <f>IF(R46="Yes",Ref_Assumptions!$C$8,"–")</f>
        <v>20</v>
      </c>
      <c r="M46" s="7">
        <f>IF(R46="Yes",Ref_Assumptions!$C$9,"–")</f>
        <v>15</v>
      </c>
      <c r="N46" s="7">
        <f>IF(R46="Yes",Ref_Assumptions!$C$10,"–")</f>
        <v>26</v>
      </c>
      <c r="O46" s="2">
        <v>70</v>
      </c>
      <c r="P46" s="2">
        <v>40</v>
      </c>
      <c r="Q46" s="2" t="s">
        <v>134</v>
      </c>
      <c r="R46" s="2" t="s">
        <v>135</v>
      </c>
      <c r="S46" s="7">
        <f>IF(R46="Yes",Ref_Assumptions!$C$2,Ref_Assumptions!$C$4)</f>
        <v>10</v>
      </c>
      <c r="T46" s="7">
        <f>IF(R46="Yes",Ref_Assumptions!$C$3,Ref_Assumptions!$C$4)</f>
        <v>0.6</v>
      </c>
      <c r="U46" s="4">
        <f t="shared" si="3"/>
        <v>1218.4128000000001</v>
      </c>
      <c r="V46" s="7">
        <f>Ref_Assumptions!$C$5</f>
        <v>0.3</v>
      </c>
      <c r="W46" s="2">
        <v>7</v>
      </c>
      <c r="X46" s="2">
        <v>2.1207699999999998</v>
      </c>
      <c r="Y46" s="2" t="s">
        <v>130</v>
      </c>
      <c r="Z46" s="2">
        <v>20</v>
      </c>
    </row>
    <row r="47" spans="1:26" ht="23.25" x14ac:dyDescent="0.45">
      <c r="A47" s="2" t="s">
        <v>122</v>
      </c>
      <c r="B47" s="2" t="s">
        <v>195</v>
      </c>
      <c r="C47" s="2" t="s">
        <v>161</v>
      </c>
      <c r="D47" s="2">
        <v>184.06</v>
      </c>
      <c r="E47" s="2">
        <v>0.6</v>
      </c>
      <c r="F47" s="6">
        <f t="shared" si="2"/>
        <v>110.43599999999999</v>
      </c>
      <c r="G47" s="2" t="s">
        <v>196</v>
      </c>
      <c r="H47" s="2">
        <v>6</v>
      </c>
      <c r="I47" s="2" t="s">
        <v>126</v>
      </c>
      <c r="J47" s="2">
        <v>2</v>
      </c>
      <c r="K47" s="2" t="s">
        <v>127</v>
      </c>
      <c r="L47" s="7">
        <f>IF(R47="Yes",Ref_Assumptions!$C$8,"–")</f>
        <v>20</v>
      </c>
      <c r="M47" s="7">
        <f>IF(R47="Yes",Ref_Assumptions!$C$9,"–")</f>
        <v>15</v>
      </c>
      <c r="N47" s="7">
        <f>IF(R47="Yes",Ref_Assumptions!$C$10,"–")</f>
        <v>26</v>
      </c>
      <c r="O47" s="2">
        <v>70</v>
      </c>
      <c r="P47" s="2">
        <v>40</v>
      </c>
      <c r="Q47" s="2" t="s">
        <v>134</v>
      </c>
      <c r="R47" s="2" t="s">
        <v>135</v>
      </c>
      <c r="S47" s="7">
        <f>IF(R47="Yes",Ref_Assumptions!$C$2,Ref_Assumptions!$C$4)</f>
        <v>10</v>
      </c>
      <c r="T47" s="7">
        <f>IF(R47="Yes",Ref_Assumptions!$C$3,Ref_Assumptions!$C$4)</f>
        <v>0.6</v>
      </c>
      <c r="U47" s="4">
        <f t="shared" si="3"/>
        <v>4373.2655999999997</v>
      </c>
      <c r="V47" s="7">
        <f>Ref_Assumptions!$C$5</f>
        <v>0.3</v>
      </c>
      <c r="W47" s="2">
        <v>7</v>
      </c>
      <c r="X47" s="2">
        <v>3.6741100000000002</v>
      </c>
      <c r="Y47" s="2" t="s">
        <v>130</v>
      </c>
      <c r="Z47" s="2">
        <v>20</v>
      </c>
    </row>
    <row r="48" spans="1:26" ht="23.25" x14ac:dyDescent="0.45">
      <c r="A48" s="2" t="s">
        <v>122</v>
      </c>
      <c r="B48" s="2" t="s">
        <v>197</v>
      </c>
      <c r="C48" s="2" t="s">
        <v>161</v>
      </c>
      <c r="D48" s="2">
        <v>326.19</v>
      </c>
      <c r="E48" s="2">
        <v>0.6</v>
      </c>
      <c r="F48" s="6">
        <f t="shared" si="2"/>
        <v>195.714</v>
      </c>
      <c r="G48" s="2" t="s">
        <v>198</v>
      </c>
      <c r="H48" s="2">
        <v>6</v>
      </c>
      <c r="I48" s="2" t="s">
        <v>126</v>
      </c>
      <c r="J48" s="2">
        <v>2</v>
      </c>
      <c r="K48" s="2" t="s">
        <v>127</v>
      </c>
      <c r="L48" s="7">
        <f>IF(R48="Yes",Ref_Assumptions!$C$8,"–")</f>
        <v>20</v>
      </c>
      <c r="M48" s="7">
        <f>IF(R48="Yes",Ref_Assumptions!$C$9,"–")</f>
        <v>15</v>
      </c>
      <c r="N48" s="7">
        <f>IF(R48="Yes",Ref_Assumptions!$C$10,"–")</f>
        <v>26</v>
      </c>
      <c r="O48" s="2">
        <v>70</v>
      </c>
      <c r="P48" s="2">
        <v>40</v>
      </c>
      <c r="Q48" s="2" t="s">
        <v>134</v>
      </c>
      <c r="R48" s="2" t="s">
        <v>135</v>
      </c>
      <c r="S48" s="7">
        <f>IF(R48="Yes",Ref_Assumptions!$C$2,Ref_Assumptions!$C$4)</f>
        <v>10</v>
      </c>
      <c r="T48" s="7">
        <f>IF(R48="Yes",Ref_Assumptions!$C$3,Ref_Assumptions!$C$4)</f>
        <v>0.6</v>
      </c>
      <c r="U48" s="4">
        <f t="shared" si="3"/>
        <v>7750.2743999999993</v>
      </c>
      <c r="V48" s="7">
        <f>Ref_Assumptions!$C$5</f>
        <v>0.3</v>
      </c>
      <c r="W48" s="2">
        <v>7</v>
      </c>
      <c r="X48" s="2">
        <v>2.9384299999999999</v>
      </c>
      <c r="Y48" s="2" t="s">
        <v>130</v>
      </c>
      <c r="Z48" s="2">
        <v>20</v>
      </c>
    </row>
    <row r="49" spans="1:26" ht="23.25" x14ac:dyDescent="0.45">
      <c r="A49" s="2" t="s">
        <v>122</v>
      </c>
      <c r="B49" s="2" t="s">
        <v>199</v>
      </c>
      <c r="C49" s="2" t="s">
        <v>161</v>
      </c>
      <c r="D49" s="2">
        <v>181.84</v>
      </c>
      <c r="E49" s="2">
        <v>0.6</v>
      </c>
      <c r="F49" s="6">
        <f t="shared" si="2"/>
        <v>109.104</v>
      </c>
      <c r="G49" s="2" t="s">
        <v>200</v>
      </c>
      <c r="H49" s="2">
        <v>6</v>
      </c>
      <c r="I49" s="2" t="s">
        <v>126</v>
      </c>
      <c r="J49" s="2">
        <v>2</v>
      </c>
      <c r="K49" s="2" t="s">
        <v>127</v>
      </c>
      <c r="L49" s="7">
        <f>IF(R49="Yes",Ref_Assumptions!$C$8,"–")</f>
        <v>20</v>
      </c>
      <c r="M49" s="7">
        <f>IF(R49="Yes",Ref_Assumptions!$C$9,"–")</f>
        <v>15</v>
      </c>
      <c r="N49" s="7">
        <f>IF(R49="Yes",Ref_Assumptions!$C$10,"–")</f>
        <v>26</v>
      </c>
      <c r="O49" s="2">
        <v>70</v>
      </c>
      <c r="P49" s="2">
        <v>40</v>
      </c>
      <c r="Q49" s="2" t="s">
        <v>134</v>
      </c>
      <c r="R49" s="2" t="s">
        <v>135</v>
      </c>
      <c r="S49" s="7">
        <f>IF(R49="Yes",Ref_Assumptions!$C$2,Ref_Assumptions!$C$4)</f>
        <v>10</v>
      </c>
      <c r="T49" s="7">
        <f>IF(R49="Yes",Ref_Assumptions!$C$3,Ref_Assumptions!$C$4)</f>
        <v>0.6</v>
      </c>
      <c r="U49" s="4">
        <f t="shared" si="3"/>
        <v>4320.5183999999999</v>
      </c>
      <c r="V49" s="7">
        <f>Ref_Assumptions!$C$5</f>
        <v>0.3</v>
      </c>
      <c r="W49" s="2">
        <v>7</v>
      </c>
      <c r="X49" s="2">
        <v>4.5058299999999996</v>
      </c>
      <c r="Y49" s="2" t="s">
        <v>130</v>
      </c>
      <c r="Z49" s="2">
        <v>20</v>
      </c>
    </row>
    <row r="50" spans="1:26" ht="23.25" x14ac:dyDescent="0.45">
      <c r="A50" s="2" t="s">
        <v>122</v>
      </c>
      <c r="B50" s="2" t="s">
        <v>201</v>
      </c>
      <c r="C50" s="2" t="s">
        <v>161</v>
      </c>
      <c r="D50" s="2">
        <v>109.33</v>
      </c>
      <c r="E50" s="2">
        <v>0.6</v>
      </c>
      <c r="F50" s="6">
        <f t="shared" si="2"/>
        <v>65.597999999999999</v>
      </c>
      <c r="G50" s="2" t="s">
        <v>202</v>
      </c>
      <c r="H50" s="2">
        <v>6</v>
      </c>
      <c r="I50" s="2" t="s">
        <v>126</v>
      </c>
      <c r="J50" s="2">
        <v>2</v>
      </c>
      <c r="K50" s="2" t="s">
        <v>127</v>
      </c>
      <c r="L50" s="7">
        <f>IF(R50="Yes",Ref_Assumptions!$C$8,"–")</f>
        <v>20</v>
      </c>
      <c r="M50" s="7">
        <f>IF(R50="Yes",Ref_Assumptions!$C$9,"–")</f>
        <v>15</v>
      </c>
      <c r="N50" s="7">
        <f>IF(R50="Yes",Ref_Assumptions!$C$10,"–")</f>
        <v>26</v>
      </c>
      <c r="O50" s="2">
        <v>70</v>
      </c>
      <c r="P50" s="2">
        <v>40</v>
      </c>
      <c r="Q50" s="2" t="s">
        <v>134</v>
      </c>
      <c r="R50" s="2" t="s">
        <v>135</v>
      </c>
      <c r="S50" s="7">
        <f>IF(R50="Yes",Ref_Assumptions!$C$2,Ref_Assumptions!$C$4)</f>
        <v>10</v>
      </c>
      <c r="T50" s="7">
        <f>IF(R50="Yes",Ref_Assumptions!$C$3,Ref_Assumptions!$C$4)</f>
        <v>0.6</v>
      </c>
      <c r="U50" s="4">
        <f t="shared" si="3"/>
        <v>2597.6808000000001</v>
      </c>
      <c r="V50" s="7">
        <f>Ref_Assumptions!$C$5</f>
        <v>0.3</v>
      </c>
      <c r="W50" s="2">
        <v>7</v>
      </c>
      <c r="X50" s="2">
        <v>5.3662400000000003</v>
      </c>
      <c r="Y50" s="2" t="s">
        <v>130</v>
      </c>
      <c r="Z50" s="2">
        <v>20</v>
      </c>
    </row>
    <row r="51" spans="1:26" ht="23.25" x14ac:dyDescent="0.45">
      <c r="A51" s="2" t="s">
        <v>122</v>
      </c>
      <c r="B51" s="2" t="s">
        <v>203</v>
      </c>
      <c r="C51" s="2" t="s">
        <v>161</v>
      </c>
      <c r="D51" s="2">
        <v>73.680000000000007</v>
      </c>
      <c r="E51" s="2">
        <v>0.6</v>
      </c>
      <c r="F51" s="6">
        <f t="shared" si="2"/>
        <v>44.208000000000006</v>
      </c>
      <c r="G51" s="2" t="s">
        <v>204</v>
      </c>
      <c r="H51" s="2">
        <v>6</v>
      </c>
      <c r="I51" s="2" t="s">
        <v>126</v>
      </c>
      <c r="J51" s="2">
        <v>2</v>
      </c>
      <c r="K51" s="2" t="s">
        <v>127</v>
      </c>
      <c r="L51" s="7">
        <f>IF(R51="Yes",Ref_Assumptions!$C$8,"–")</f>
        <v>20</v>
      </c>
      <c r="M51" s="7">
        <f>IF(R51="Yes",Ref_Assumptions!$C$9,"–")</f>
        <v>15</v>
      </c>
      <c r="N51" s="7">
        <f>IF(R51="Yes",Ref_Assumptions!$C$10,"–")</f>
        <v>26</v>
      </c>
      <c r="O51" s="2">
        <v>70</v>
      </c>
      <c r="P51" s="2">
        <v>40</v>
      </c>
      <c r="Q51" s="2" t="s">
        <v>134</v>
      </c>
      <c r="R51" s="2" t="s">
        <v>135</v>
      </c>
      <c r="S51" s="7">
        <f>IF(R51="Yes",Ref_Assumptions!$C$2,Ref_Assumptions!$C$4)</f>
        <v>10</v>
      </c>
      <c r="T51" s="7">
        <f>IF(R51="Yes",Ref_Assumptions!$C$3,Ref_Assumptions!$C$4)</f>
        <v>0.6</v>
      </c>
      <c r="U51" s="4">
        <f t="shared" si="3"/>
        <v>1750.6368000000002</v>
      </c>
      <c r="V51" s="7">
        <f>Ref_Assumptions!$C$5</f>
        <v>0.3</v>
      </c>
      <c r="W51" s="2">
        <v>7</v>
      </c>
      <c r="X51" s="2">
        <v>4.3401500000000004</v>
      </c>
      <c r="Y51" s="2" t="s">
        <v>130</v>
      </c>
      <c r="Z51" s="2">
        <v>20</v>
      </c>
    </row>
    <row r="52" spans="1:26" ht="23.25" x14ac:dyDescent="0.45">
      <c r="A52" s="2" t="s">
        <v>122</v>
      </c>
      <c r="B52" s="2" t="s">
        <v>205</v>
      </c>
      <c r="C52" s="2" t="s">
        <v>173</v>
      </c>
      <c r="D52" s="2">
        <v>123.29</v>
      </c>
      <c r="E52" s="2">
        <v>0.3</v>
      </c>
      <c r="F52" s="6">
        <f t="shared" si="2"/>
        <v>36.987000000000002</v>
      </c>
      <c r="G52" s="2" t="s">
        <v>125</v>
      </c>
      <c r="H52" s="2">
        <v>6</v>
      </c>
      <c r="I52" s="2" t="s">
        <v>126</v>
      </c>
      <c r="J52" s="2">
        <v>2</v>
      </c>
      <c r="K52" s="2" t="s">
        <v>127</v>
      </c>
      <c r="L52" s="7">
        <f>IF(R52="Yes",Ref_Assumptions!$C$8,"–")</f>
        <v>20</v>
      </c>
      <c r="M52" s="7">
        <f>IF(R52="Yes",Ref_Assumptions!$C$9,"–")</f>
        <v>15</v>
      </c>
      <c r="N52" s="7">
        <f>IF(R52="Yes",Ref_Assumptions!$C$10,"–")</f>
        <v>26</v>
      </c>
      <c r="O52" s="2">
        <v>70</v>
      </c>
      <c r="P52" s="2">
        <v>40</v>
      </c>
      <c r="Q52" s="2" t="s">
        <v>134</v>
      </c>
      <c r="R52" s="2" t="s">
        <v>135</v>
      </c>
      <c r="S52" s="7">
        <f>IF(R52="Yes",Ref_Assumptions!$C$2,Ref_Assumptions!$C$4)</f>
        <v>10</v>
      </c>
      <c r="T52" s="7">
        <f>IF(R52="Yes",Ref_Assumptions!$C$3,Ref_Assumptions!$C$4)</f>
        <v>0.6</v>
      </c>
      <c r="U52" s="4">
        <f t="shared" si="3"/>
        <v>1597.8384000000001</v>
      </c>
      <c r="V52" s="7">
        <f>Ref_Assumptions!$C$5</f>
        <v>0.3</v>
      </c>
      <c r="W52" s="2">
        <v>7</v>
      </c>
      <c r="X52" s="2">
        <v>1.80182</v>
      </c>
      <c r="Y52" s="2" t="s">
        <v>130</v>
      </c>
      <c r="Z52" s="2">
        <v>20</v>
      </c>
    </row>
    <row r="53" spans="1:26" ht="23.25" x14ac:dyDescent="0.45">
      <c r="A53" s="2" t="s">
        <v>122</v>
      </c>
      <c r="B53" s="2" t="s">
        <v>206</v>
      </c>
      <c r="C53" s="2" t="s">
        <v>173</v>
      </c>
      <c r="D53" s="2">
        <v>33.35</v>
      </c>
      <c r="E53" s="2">
        <v>0.3</v>
      </c>
      <c r="F53" s="6">
        <f t="shared" si="2"/>
        <v>10.005000000000001</v>
      </c>
      <c r="G53" s="2" t="s">
        <v>125</v>
      </c>
      <c r="H53" s="2">
        <v>6</v>
      </c>
      <c r="I53" s="2" t="s">
        <v>126</v>
      </c>
      <c r="J53" s="2">
        <v>2</v>
      </c>
      <c r="K53" s="2" t="s">
        <v>127</v>
      </c>
      <c r="L53" s="7">
        <f>IF(R53="Yes",Ref_Assumptions!$C$8,"–")</f>
        <v>20</v>
      </c>
      <c r="M53" s="7">
        <f>IF(R53="Yes",Ref_Assumptions!$C$9,"–")</f>
        <v>15</v>
      </c>
      <c r="N53" s="7">
        <f>IF(R53="Yes",Ref_Assumptions!$C$10,"–")</f>
        <v>26</v>
      </c>
      <c r="O53" s="2">
        <v>70</v>
      </c>
      <c r="P53" s="2">
        <v>40</v>
      </c>
      <c r="Q53" s="2" t="s">
        <v>134</v>
      </c>
      <c r="R53" s="2" t="s">
        <v>135</v>
      </c>
      <c r="S53" s="7">
        <f>IF(R53="Yes",Ref_Assumptions!$C$2,Ref_Assumptions!$C$4)</f>
        <v>10</v>
      </c>
      <c r="T53" s="7">
        <f>IF(R53="Yes",Ref_Assumptions!$C$3,Ref_Assumptions!$C$4)</f>
        <v>0.6</v>
      </c>
      <c r="U53" s="4">
        <f t="shared" si="3"/>
        <v>432.21600000000007</v>
      </c>
      <c r="V53" s="7">
        <f>Ref_Assumptions!$C$5</f>
        <v>0.3</v>
      </c>
      <c r="W53" s="2">
        <v>7</v>
      </c>
      <c r="X53" s="2">
        <v>1.8328800000000001</v>
      </c>
      <c r="Y53" s="2" t="s">
        <v>130</v>
      </c>
      <c r="Z53" s="2">
        <v>20</v>
      </c>
    </row>
    <row r="54" spans="1:26" ht="23.25" x14ac:dyDescent="0.45">
      <c r="A54" s="2" t="s">
        <v>122</v>
      </c>
      <c r="B54" s="2" t="s">
        <v>207</v>
      </c>
      <c r="C54" s="2" t="s">
        <v>173</v>
      </c>
      <c r="D54" s="2">
        <v>65.349999999999994</v>
      </c>
      <c r="E54" s="2">
        <v>0.3</v>
      </c>
      <c r="F54" s="6">
        <f t="shared" si="2"/>
        <v>19.604999999999997</v>
      </c>
      <c r="G54" s="2" t="s">
        <v>125</v>
      </c>
      <c r="H54" s="2">
        <v>6</v>
      </c>
      <c r="I54" s="2" t="s">
        <v>126</v>
      </c>
      <c r="J54" s="2">
        <v>2</v>
      </c>
      <c r="K54" s="2" t="s">
        <v>127</v>
      </c>
      <c r="L54" s="7">
        <f>IF(R54="Yes",Ref_Assumptions!$C$8,"–")</f>
        <v>20</v>
      </c>
      <c r="M54" s="7">
        <f>IF(R54="Yes",Ref_Assumptions!$C$9,"–")</f>
        <v>15</v>
      </c>
      <c r="N54" s="7">
        <f>IF(R54="Yes",Ref_Assumptions!$C$10,"–")</f>
        <v>26</v>
      </c>
      <c r="O54" s="2">
        <v>70</v>
      </c>
      <c r="P54" s="2">
        <v>40</v>
      </c>
      <c r="Q54" s="2" t="s">
        <v>134</v>
      </c>
      <c r="R54" s="2" t="s">
        <v>135</v>
      </c>
      <c r="S54" s="7">
        <f>IF(R54="Yes",Ref_Assumptions!$C$2,Ref_Assumptions!$C$4)</f>
        <v>10</v>
      </c>
      <c r="T54" s="7">
        <f>IF(R54="Yes",Ref_Assumptions!$C$3,Ref_Assumptions!$C$4)</f>
        <v>0.6</v>
      </c>
      <c r="U54" s="4">
        <f t="shared" si="3"/>
        <v>846.93599999999981</v>
      </c>
      <c r="V54" s="7">
        <f>Ref_Assumptions!$C$5</f>
        <v>0.3</v>
      </c>
      <c r="W54" s="2">
        <v>7</v>
      </c>
      <c r="X54" s="2">
        <v>1.71607</v>
      </c>
      <c r="Y54" s="2" t="s">
        <v>130</v>
      </c>
      <c r="Z54" s="2">
        <v>20</v>
      </c>
    </row>
    <row r="55" spans="1:26" ht="23.25" x14ac:dyDescent="0.45">
      <c r="A55" s="2" t="s">
        <v>122</v>
      </c>
      <c r="B55" s="2" t="s">
        <v>208</v>
      </c>
      <c r="C55" s="2" t="s">
        <v>173</v>
      </c>
      <c r="D55" s="2">
        <v>218.41</v>
      </c>
      <c r="E55" s="2">
        <v>0.3</v>
      </c>
      <c r="F55" s="6">
        <f t="shared" si="2"/>
        <v>65.522999999999996</v>
      </c>
      <c r="G55" s="2" t="s">
        <v>125</v>
      </c>
      <c r="H55" s="2">
        <v>6</v>
      </c>
      <c r="I55" s="2" t="s">
        <v>126</v>
      </c>
      <c r="J55" s="2">
        <v>2</v>
      </c>
      <c r="K55" s="2" t="s">
        <v>127</v>
      </c>
      <c r="L55" s="7">
        <f>IF(R55="Yes",Ref_Assumptions!$C$8,"–")</f>
        <v>20</v>
      </c>
      <c r="M55" s="7">
        <f>IF(R55="Yes",Ref_Assumptions!$C$9,"–")</f>
        <v>15</v>
      </c>
      <c r="N55" s="7">
        <f>IF(R55="Yes",Ref_Assumptions!$C$10,"–")</f>
        <v>26</v>
      </c>
      <c r="O55" s="2">
        <v>70</v>
      </c>
      <c r="P55" s="2">
        <v>40</v>
      </c>
      <c r="Q55" s="2" t="s">
        <v>134</v>
      </c>
      <c r="R55" s="2" t="s">
        <v>135</v>
      </c>
      <c r="S55" s="7">
        <f>IF(R55="Yes",Ref_Assumptions!$C$2,Ref_Assumptions!$C$4)</f>
        <v>10</v>
      </c>
      <c r="T55" s="7">
        <f>IF(R55="Yes",Ref_Assumptions!$C$3,Ref_Assumptions!$C$4)</f>
        <v>0.6</v>
      </c>
      <c r="U55" s="4">
        <f t="shared" si="3"/>
        <v>2830.5936000000002</v>
      </c>
      <c r="V55" s="7">
        <f>Ref_Assumptions!$C$5</f>
        <v>0.3</v>
      </c>
      <c r="W55" s="2">
        <v>7</v>
      </c>
      <c r="X55" s="2">
        <v>1.76685</v>
      </c>
      <c r="Y55" s="2" t="s">
        <v>130</v>
      </c>
      <c r="Z55" s="2">
        <v>20</v>
      </c>
    </row>
    <row r="56" spans="1:26" ht="23.25" x14ac:dyDescent="0.45">
      <c r="A56" s="2" t="s">
        <v>122</v>
      </c>
      <c r="B56" s="2" t="s">
        <v>209</v>
      </c>
      <c r="C56" s="2" t="s">
        <v>173</v>
      </c>
      <c r="D56" s="2">
        <v>32.020000000000003</v>
      </c>
      <c r="E56" s="2">
        <v>0.3</v>
      </c>
      <c r="F56" s="6">
        <f t="shared" si="2"/>
        <v>9.6059999999999999</v>
      </c>
      <c r="G56" s="2" t="s">
        <v>125</v>
      </c>
      <c r="H56" s="2">
        <v>6</v>
      </c>
      <c r="I56" s="2" t="s">
        <v>126</v>
      </c>
      <c r="J56" s="2">
        <v>2</v>
      </c>
      <c r="K56" s="2" t="s">
        <v>127</v>
      </c>
      <c r="L56" s="7">
        <f>IF(R56="Yes",Ref_Assumptions!$C$8,"–")</f>
        <v>20</v>
      </c>
      <c r="M56" s="7">
        <f>IF(R56="Yes",Ref_Assumptions!$C$9,"–")</f>
        <v>15</v>
      </c>
      <c r="N56" s="7">
        <f>IF(R56="Yes",Ref_Assumptions!$C$10,"–")</f>
        <v>26</v>
      </c>
      <c r="O56" s="2">
        <v>70</v>
      </c>
      <c r="P56" s="2">
        <v>40</v>
      </c>
      <c r="Q56" s="2" t="s">
        <v>134</v>
      </c>
      <c r="R56" s="2" t="s">
        <v>135</v>
      </c>
      <c r="S56" s="7">
        <f>IF(R56="Yes",Ref_Assumptions!$C$2,Ref_Assumptions!$C$4)</f>
        <v>10</v>
      </c>
      <c r="T56" s="7">
        <f>IF(R56="Yes",Ref_Assumptions!$C$3,Ref_Assumptions!$C$4)</f>
        <v>0.6</v>
      </c>
      <c r="U56" s="4">
        <f t="shared" si="3"/>
        <v>414.97920000000005</v>
      </c>
      <c r="V56" s="7">
        <f>Ref_Assumptions!$C$5</f>
        <v>0.3</v>
      </c>
      <c r="W56" s="2">
        <v>7</v>
      </c>
      <c r="X56" s="2">
        <v>1.9073199999999999</v>
      </c>
      <c r="Y56" s="2" t="s">
        <v>130</v>
      </c>
      <c r="Z56" s="2">
        <v>20</v>
      </c>
    </row>
    <row r="57" spans="1:26" ht="23.25" x14ac:dyDescent="0.45">
      <c r="A57" s="2" t="s">
        <v>122</v>
      </c>
      <c r="B57" s="2" t="s">
        <v>210</v>
      </c>
      <c r="C57" s="2" t="s">
        <v>173</v>
      </c>
      <c r="D57" s="2">
        <v>64.03</v>
      </c>
      <c r="E57" s="2">
        <v>0.3</v>
      </c>
      <c r="F57" s="6">
        <f t="shared" si="2"/>
        <v>19.209</v>
      </c>
      <c r="G57" s="2" t="s">
        <v>125</v>
      </c>
      <c r="H57" s="2">
        <v>6</v>
      </c>
      <c r="I57" s="2" t="s">
        <v>126</v>
      </c>
      <c r="J57" s="2">
        <v>2</v>
      </c>
      <c r="K57" s="2" t="s">
        <v>127</v>
      </c>
      <c r="L57" s="7">
        <f>IF(R57="Yes",Ref_Assumptions!$C$8,"–")</f>
        <v>20</v>
      </c>
      <c r="M57" s="7">
        <f>IF(R57="Yes",Ref_Assumptions!$C$9,"–")</f>
        <v>15</v>
      </c>
      <c r="N57" s="7">
        <f>IF(R57="Yes",Ref_Assumptions!$C$10,"–")</f>
        <v>26</v>
      </c>
      <c r="O57" s="2">
        <v>70</v>
      </c>
      <c r="P57" s="2">
        <v>40</v>
      </c>
      <c r="Q57" s="2" t="s">
        <v>134</v>
      </c>
      <c r="R57" s="2" t="s">
        <v>135</v>
      </c>
      <c r="S57" s="7">
        <f>IF(R57="Yes",Ref_Assumptions!$C$2,Ref_Assumptions!$C$4)</f>
        <v>10</v>
      </c>
      <c r="T57" s="7">
        <f>IF(R57="Yes",Ref_Assumptions!$C$3,Ref_Assumptions!$C$4)</f>
        <v>0.6</v>
      </c>
      <c r="U57" s="4">
        <f t="shared" si="3"/>
        <v>829.8288</v>
      </c>
      <c r="V57" s="7">
        <f>Ref_Assumptions!$C$5</f>
        <v>0.3</v>
      </c>
      <c r="W57" s="2">
        <v>7</v>
      </c>
      <c r="X57" s="2">
        <v>1.75423</v>
      </c>
      <c r="Y57" s="2" t="s">
        <v>130</v>
      </c>
      <c r="Z57" s="2">
        <v>20</v>
      </c>
    </row>
    <row r="58" spans="1:26" ht="23.25" x14ac:dyDescent="0.45">
      <c r="A58" s="2" t="s">
        <v>122</v>
      </c>
      <c r="B58" s="2" t="s">
        <v>211</v>
      </c>
      <c r="C58" s="2" t="s">
        <v>173</v>
      </c>
      <c r="D58" s="2">
        <v>161.34</v>
      </c>
      <c r="E58" s="2">
        <v>0.3</v>
      </c>
      <c r="F58" s="6">
        <f t="shared" si="2"/>
        <v>48.402000000000001</v>
      </c>
      <c r="G58" s="2" t="s">
        <v>125</v>
      </c>
      <c r="H58" s="2">
        <v>6</v>
      </c>
      <c r="I58" s="2" t="s">
        <v>126</v>
      </c>
      <c r="J58" s="2">
        <v>2</v>
      </c>
      <c r="K58" s="2" t="s">
        <v>127</v>
      </c>
      <c r="L58" s="7">
        <f>IF(R58="Yes",Ref_Assumptions!$C$8,"–")</f>
        <v>20</v>
      </c>
      <c r="M58" s="7">
        <f>IF(R58="Yes",Ref_Assumptions!$C$9,"–")</f>
        <v>15</v>
      </c>
      <c r="N58" s="7">
        <f>IF(R58="Yes",Ref_Assumptions!$C$10,"–")</f>
        <v>26</v>
      </c>
      <c r="O58" s="2">
        <v>70</v>
      </c>
      <c r="P58" s="2">
        <v>40</v>
      </c>
      <c r="Q58" s="2" t="s">
        <v>134</v>
      </c>
      <c r="R58" s="2" t="s">
        <v>135</v>
      </c>
      <c r="S58" s="7">
        <f>IF(R58="Yes",Ref_Assumptions!$C$2,Ref_Assumptions!$C$4)</f>
        <v>10</v>
      </c>
      <c r="T58" s="7">
        <f>IF(R58="Yes",Ref_Assumptions!$C$3,Ref_Assumptions!$C$4)</f>
        <v>0.6</v>
      </c>
      <c r="U58" s="4">
        <f t="shared" si="3"/>
        <v>2090.9663999999998</v>
      </c>
      <c r="V58" s="7">
        <f>Ref_Assumptions!$C$5</f>
        <v>0.3</v>
      </c>
      <c r="W58" s="2">
        <v>7</v>
      </c>
      <c r="X58" s="2">
        <v>1.89123</v>
      </c>
      <c r="Y58" s="2" t="s">
        <v>130</v>
      </c>
      <c r="Z58" s="2">
        <v>20</v>
      </c>
    </row>
    <row r="59" spans="1:26" ht="23.25" x14ac:dyDescent="0.45">
      <c r="A59" s="2" t="s">
        <v>122</v>
      </c>
      <c r="B59" s="2" t="s">
        <v>212</v>
      </c>
      <c r="C59" s="2" t="s">
        <v>173</v>
      </c>
      <c r="D59" s="2">
        <v>59.89</v>
      </c>
      <c r="E59" s="2">
        <v>0.3</v>
      </c>
      <c r="F59" s="6">
        <f t="shared" si="2"/>
        <v>17.966999999999999</v>
      </c>
      <c r="G59" s="2" t="s">
        <v>125</v>
      </c>
      <c r="H59" s="2">
        <v>6</v>
      </c>
      <c r="I59" s="2" t="s">
        <v>126</v>
      </c>
      <c r="J59" s="2">
        <v>2</v>
      </c>
      <c r="K59" s="2" t="s">
        <v>127</v>
      </c>
      <c r="L59" s="7">
        <f>IF(R59="Yes",Ref_Assumptions!$C$8,"–")</f>
        <v>20</v>
      </c>
      <c r="M59" s="7">
        <f>IF(R59="Yes",Ref_Assumptions!$C$9,"–")</f>
        <v>15</v>
      </c>
      <c r="N59" s="7">
        <f>IF(R59="Yes",Ref_Assumptions!$C$10,"–")</f>
        <v>26</v>
      </c>
      <c r="O59" s="2">
        <v>70</v>
      </c>
      <c r="P59" s="2">
        <v>40</v>
      </c>
      <c r="Q59" s="2" t="s">
        <v>134</v>
      </c>
      <c r="R59" s="2" t="s">
        <v>135</v>
      </c>
      <c r="S59" s="7">
        <f>IF(R59="Yes",Ref_Assumptions!$C$2,Ref_Assumptions!$C$4)</f>
        <v>10</v>
      </c>
      <c r="T59" s="7">
        <f>IF(R59="Yes",Ref_Assumptions!$C$3,Ref_Assumptions!$C$4)</f>
        <v>0.6</v>
      </c>
      <c r="U59" s="4">
        <f t="shared" si="3"/>
        <v>776.17439999999999</v>
      </c>
      <c r="V59" s="7">
        <f>Ref_Assumptions!$C$5</f>
        <v>0.3</v>
      </c>
      <c r="W59" s="2">
        <v>7</v>
      </c>
      <c r="X59" s="2">
        <v>1.7769200000000001</v>
      </c>
      <c r="Y59" s="2" t="s">
        <v>130</v>
      </c>
      <c r="Z59" s="2">
        <v>20</v>
      </c>
    </row>
    <row r="60" spans="1:26" ht="23.25" x14ac:dyDescent="0.45">
      <c r="A60" s="2" t="s">
        <v>122</v>
      </c>
      <c r="B60" s="2" t="s">
        <v>213</v>
      </c>
      <c r="C60" s="2" t="s">
        <v>173</v>
      </c>
      <c r="D60" s="2">
        <v>51.46</v>
      </c>
      <c r="E60" s="2">
        <v>0.3</v>
      </c>
      <c r="F60" s="6">
        <f t="shared" si="2"/>
        <v>15.437999999999999</v>
      </c>
      <c r="G60" s="2" t="s">
        <v>125</v>
      </c>
      <c r="H60" s="2">
        <v>6</v>
      </c>
      <c r="I60" s="2" t="s">
        <v>126</v>
      </c>
      <c r="J60" s="2">
        <v>2</v>
      </c>
      <c r="K60" s="2" t="s">
        <v>127</v>
      </c>
      <c r="L60" s="7">
        <f>IF(R60="Yes",Ref_Assumptions!$C$8,"–")</f>
        <v>20</v>
      </c>
      <c r="M60" s="7">
        <f>IF(R60="Yes",Ref_Assumptions!$C$9,"–")</f>
        <v>15</v>
      </c>
      <c r="N60" s="7">
        <f>IF(R60="Yes",Ref_Assumptions!$C$10,"–")</f>
        <v>26</v>
      </c>
      <c r="O60" s="2">
        <v>70</v>
      </c>
      <c r="P60" s="2">
        <v>40</v>
      </c>
      <c r="Q60" s="2" t="s">
        <v>134</v>
      </c>
      <c r="R60" s="2" t="s">
        <v>135</v>
      </c>
      <c r="S60" s="7">
        <f>IF(R60="Yes",Ref_Assumptions!$C$2,Ref_Assumptions!$C$4)</f>
        <v>10</v>
      </c>
      <c r="T60" s="7">
        <f>IF(R60="Yes",Ref_Assumptions!$C$3,Ref_Assumptions!$C$4)</f>
        <v>0.6</v>
      </c>
      <c r="U60" s="4">
        <f t="shared" si="3"/>
        <v>666.92160000000001</v>
      </c>
      <c r="V60" s="7">
        <f>Ref_Assumptions!$C$5</f>
        <v>0.3</v>
      </c>
      <c r="W60" s="2">
        <v>7</v>
      </c>
      <c r="X60" s="2">
        <v>1.6995199999999999</v>
      </c>
      <c r="Y60" s="2" t="s">
        <v>130</v>
      </c>
      <c r="Z60" s="2">
        <v>20</v>
      </c>
    </row>
    <row r="61" spans="1:26" ht="23.25" x14ac:dyDescent="0.45">
      <c r="A61" s="2" t="s">
        <v>122</v>
      </c>
      <c r="B61" s="2" t="s">
        <v>214</v>
      </c>
      <c r="C61" s="2" t="s">
        <v>161</v>
      </c>
      <c r="D61" s="2">
        <v>183.32</v>
      </c>
      <c r="E61" s="2">
        <v>0.6</v>
      </c>
      <c r="F61" s="6">
        <f t="shared" si="2"/>
        <v>109.99199999999999</v>
      </c>
      <c r="G61" s="2" t="s">
        <v>215</v>
      </c>
      <c r="H61" s="2">
        <v>6</v>
      </c>
      <c r="I61" s="2" t="s">
        <v>126</v>
      </c>
      <c r="J61" s="2">
        <v>2</v>
      </c>
      <c r="K61" s="2" t="s">
        <v>127</v>
      </c>
      <c r="L61" s="7">
        <f>IF(R61="Yes",Ref_Assumptions!$C$8,"–")</f>
        <v>20</v>
      </c>
      <c r="M61" s="7">
        <f>IF(R61="Yes",Ref_Assumptions!$C$9,"–")</f>
        <v>15</v>
      </c>
      <c r="N61" s="7">
        <f>IF(R61="Yes",Ref_Assumptions!$C$10,"–")</f>
        <v>26</v>
      </c>
      <c r="O61" s="2">
        <v>70</v>
      </c>
      <c r="P61" s="2">
        <v>40</v>
      </c>
      <c r="Q61" s="2" t="s">
        <v>134</v>
      </c>
      <c r="R61" s="2" t="s">
        <v>135</v>
      </c>
      <c r="S61" s="7">
        <f>IF(R61="Yes",Ref_Assumptions!$C$2,Ref_Assumptions!$C$4)</f>
        <v>10</v>
      </c>
      <c r="T61" s="7">
        <f>IF(R61="Yes",Ref_Assumptions!$C$3,Ref_Assumptions!$C$4)</f>
        <v>0.6</v>
      </c>
      <c r="U61" s="4">
        <f t="shared" si="3"/>
        <v>4355.6831999999995</v>
      </c>
      <c r="V61" s="7">
        <f>Ref_Assumptions!$C$5</f>
        <v>0.3</v>
      </c>
      <c r="W61" s="2">
        <v>7</v>
      </c>
      <c r="X61" s="2">
        <v>3.6730900000000002</v>
      </c>
      <c r="Y61" s="2" t="s">
        <v>130</v>
      </c>
      <c r="Z61" s="2">
        <v>20</v>
      </c>
    </row>
    <row r="62" spans="1:26" ht="23.25" x14ac:dyDescent="0.45">
      <c r="A62" s="2" t="s">
        <v>122</v>
      </c>
      <c r="B62" s="2" t="s">
        <v>216</v>
      </c>
      <c r="C62" s="2" t="s">
        <v>161</v>
      </c>
      <c r="D62" s="2">
        <v>182.71</v>
      </c>
      <c r="E62" s="2">
        <v>0.6</v>
      </c>
      <c r="F62" s="6">
        <f t="shared" si="2"/>
        <v>109.626</v>
      </c>
      <c r="G62" s="2" t="s">
        <v>217</v>
      </c>
      <c r="H62" s="2">
        <v>6</v>
      </c>
      <c r="I62" s="2" t="s">
        <v>126</v>
      </c>
      <c r="J62" s="2">
        <v>2</v>
      </c>
      <c r="K62" s="2" t="s">
        <v>127</v>
      </c>
      <c r="L62" s="7">
        <f>IF(R62="Yes",Ref_Assumptions!$C$8,"–")</f>
        <v>20</v>
      </c>
      <c r="M62" s="7">
        <f>IF(R62="Yes",Ref_Assumptions!$C$9,"–")</f>
        <v>15</v>
      </c>
      <c r="N62" s="7">
        <f>IF(R62="Yes",Ref_Assumptions!$C$10,"–")</f>
        <v>26</v>
      </c>
      <c r="O62" s="2">
        <v>70</v>
      </c>
      <c r="P62" s="2">
        <v>40</v>
      </c>
      <c r="Q62" s="2" t="s">
        <v>134</v>
      </c>
      <c r="R62" s="2" t="s">
        <v>135</v>
      </c>
      <c r="S62" s="7">
        <f>IF(R62="Yes",Ref_Assumptions!$C$2,Ref_Assumptions!$C$4)</f>
        <v>10</v>
      </c>
      <c r="T62" s="7">
        <f>IF(R62="Yes",Ref_Assumptions!$C$3,Ref_Assumptions!$C$4)</f>
        <v>0.6</v>
      </c>
      <c r="U62" s="4">
        <f t="shared" si="3"/>
        <v>4341.1895999999997</v>
      </c>
      <c r="V62" s="7">
        <f>Ref_Assumptions!$C$5</f>
        <v>0.3</v>
      </c>
      <c r="W62" s="2">
        <v>7</v>
      </c>
      <c r="X62" s="2">
        <v>4.2903399999999996</v>
      </c>
      <c r="Y62" s="2" t="s">
        <v>130</v>
      </c>
      <c r="Z62" s="2">
        <v>20</v>
      </c>
    </row>
    <row r="63" spans="1:26" ht="23.25" x14ac:dyDescent="0.45">
      <c r="A63" s="2" t="s">
        <v>122</v>
      </c>
      <c r="B63" s="2" t="s">
        <v>218</v>
      </c>
      <c r="C63" s="2" t="s">
        <v>161</v>
      </c>
      <c r="D63" s="2">
        <v>109.33</v>
      </c>
      <c r="E63" s="2">
        <v>0.6</v>
      </c>
      <c r="F63" s="6">
        <f t="shared" si="2"/>
        <v>65.597999999999999</v>
      </c>
      <c r="G63" s="2" t="s">
        <v>219</v>
      </c>
      <c r="H63" s="2">
        <v>6</v>
      </c>
      <c r="I63" s="2" t="s">
        <v>126</v>
      </c>
      <c r="J63" s="2">
        <v>2</v>
      </c>
      <c r="K63" s="2" t="s">
        <v>127</v>
      </c>
      <c r="L63" s="7">
        <f>IF(R63="Yes",Ref_Assumptions!$C$8,"–")</f>
        <v>20</v>
      </c>
      <c r="M63" s="7">
        <f>IF(R63="Yes",Ref_Assumptions!$C$9,"–")</f>
        <v>15</v>
      </c>
      <c r="N63" s="7">
        <f>IF(R63="Yes",Ref_Assumptions!$C$10,"–")</f>
        <v>26</v>
      </c>
      <c r="O63" s="2">
        <v>70</v>
      </c>
      <c r="P63" s="2">
        <v>40</v>
      </c>
      <c r="Q63" s="2" t="s">
        <v>134</v>
      </c>
      <c r="R63" s="2" t="s">
        <v>135</v>
      </c>
      <c r="S63" s="7">
        <f>IF(R63="Yes",Ref_Assumptions!$C$2,Ref_Assumptions!$C$4)</f>
        <v>10</v>
      </c>
      <c r="T63" s="7">
        <f>IF(R63="Yes",Ref_Assumptions!$C$3,Ref_Assumptions!$C$4)</f>
        <v>0.6</v>
      </c>
      <c r="U63" s="4">
        <f t="shared" si="3"/>
        <v>2597.6808000000001</v>
      </c>
      <c r="V63" s="7">
        <f>Ref_Assumptions!$C$5</f>
        <v>0.3</v>
      </c>
      <c r="W63" s="2">
        <v>7</v>
      </c>
      <c r="X63" s="2">
        <v>3.0489999999999999</v>
      </c>
      <c r="Y63" s="2" t="s">
        <v>130</v>
      </c>
      <c r="Z63" s="2">
        <v>20</v>
      </c>
    </row>
    <row r="64" spans="1:26" ht="23.25" x14ac:dyDescent="0.45">
      <c r="A64" s="2" t="s">
        <v>122</v>
      </c>
      <c r="B64" s="2" t="s">
        <v>220</v>
      </c>
      <c r="C64" s="2" t="s">
        <v>161</v>
      </c>
      <c r="D64" s="2">
        <v>183.48</v>
      </c>
      <c r="E64" s="2">
        <v>0.6</v>
      </c>
      <c r="F64" s="6">
        <f t="shared" si="2"/>
        <v>110.08799999999999</v>
      </c>
      <c r="G64" s="2" t="s">
        <v>221</v>
      </c>
      <c r="H64" s="2">
        <v>6</v>
      </c>
      <c r="I64" s="2" t="s">
        <v>126</v>
      </c>
      <c r="J64" s="2">
        <v>2</v>
      </c>
      <c r="K64" s="2" t="s">
        <v>127</v>
      </c>
      <c r="L64" s="7">
        <f>IF(R64="Yes",Ref_Assumptions!$C$8,"–")</f>
        <v>20</v>
      </c>
      <c r="M64" s="7">
        <f>IF(R64="Yes",Ref_Assumptions!$C$9,"–")</f>
        <v>15</v>
      </c>
      <c r="N64" s="7">
        <f>IF(R64="Yes",Ref_Assumptions!$C$10,"–")</f>
        <v>26</v>
      </c>
      <c r="O64" s="2">
        <v>70</v>
      </c>
      <c r="P64" s="2">
        <v>40</v>
      </c>
      <c r="Q64" s="2" t="s">
        <v>134</v>
      </c>
      <c r="R64" s="2" t="s">
        <v>135</v>
      </c>
      <c r="S64" s="7">
        <f>IF(R64="Yes",Ref_Assumptions!$C$2,Ref_Assumptions!$C$4)</f>
        <v>10</v>
      </c>
      <c r="T64" s="7">
        <f>IF(R64="Yes",Ref_Assumptions!$C$3,Ref_Assumptions!$C$4)</f>
        <v>0.6</v>
      </c>
      <c r="U64" s="4">
        <f t="shared" si="3"/>
        <v>4359.4847999999993</v>
      </c>
      <c r="V64" s="7">
        <f>Ref_Assumptions!$C$5</f>
        <v>0.3</v>
      </c>
      <c r="W64" s="2">
        <v>7</v>
      </c>
      <c r="X64" s="2">
        <v>5.5209299999999999</v>
      </c>
      <c r="Y64" s="2" t="s">
        <v>130</v>
      </c>
      <c r="Z64" s="2">
        <v>20</v>
      </c>
    </row>
    <row r="65" spans="1:26" ht="23.25" x14ac:dyDescent="0.45">
      <c r="A65" s="2" t="s">
        <v>122</v>
      </c>
      <c r="B65" s="2" t="s">
        <v>222</v>
      </c>
      <c r="C65" s="2" t="s">
        <v>173</v>
      </c>
      <c r="D65" s="2">
        <v>53.66</v>
      </c>
      <c r="E65" s="2">
        <v>0.3</v>
      </c>
      <c r="F65" s="6">
        <f t="shared" si="2"/>
        <v>16.097999999999999</v>
      </c>
      <c r="G65" s="2" t="s">
        <v>125</v>
      </c>
      <c r="H65" s="2">
        <v>6</v>
      </c>
      <c r="I65" s="2" t="s">
        <v>126</v>
      </c>
      <c r="J65" s="2">
        <v>2</v>
      </c>
      <c r="K65" s="2" t="s">
        <v>127</v>
      </c>
      <c r="L65" s="7">
        <f>IF(R65="Yes",Ref_Assumptions!$C$8,"–")</f>
        <v>20</v>
      </c>
      <c r="M65" s="7">
        <f>IF(R65="Yes",Ref_Assumptions!$C$9,"–")</f>
        <v>15</v>
      </c>
      <c r="N65" s="7">
        <f>IF(R65="Yes",Ref_Assumptions!$C$10,"–")</f>
        <v>26</v>
      </c>
      <c r="O65" s="2">
        <v>70</v>
      </c>
      <c r="P65" s="2">
        <v>40</v>
      </c>
      <c r="Q65" s="2" t="s">
        <v>134</v>
      </c>
      <c r="R65" s="2" t="s">
        <v>135</v>
      </c>
      <c r="S65" s="7">
        <f>IF(R65="Yes",Ref_Assumptions!$C$2,Ref_Assumptions!$C$4)</f>
        <v>10</v>
      </c>
      <c r="T65" s="7">
        <f>IF(R65="Yes",Ref_Assumptions!$C$3,Ref_Assumptions!$C$4)</f>
        <v>0.6</v>
      </c>
      <c r="U65" s="4">
        <f t="shared" si="3"/>
        <v>695.43359999999996</v>
      </c>
      <c r="V65" s="7">
        <f>Ref_Assumptions!$C$5</f>
        <v>0.3</v>
      </c>
      <c r="W65" s="2">
        <v>7</v>
      </c>
      <c r="X65" s="2">
        <v>1.8736999999999999</v>
      </c>
      <c r="Y65" s="2" t="s">
        <v>130</v>
      </c>
      <c r="Z65" s="2">
        <v>20</v>
      </c>
    </row>
    <row r="66" spans="1:26" ht="23.25" x14ac:dyDescent="0.45">
      <c r="A66" s="2" t="s">
        <v>122</v>
      </c>
      <c r="B66" s="2" t="s">
        <v>223</v>
      </c>
      <c r="C66" s="2" t="s">
        <v>173</v>
      </c>
      <c r="D66" s="2">
        <v>63.84</v>
      </c>
      <c r="E66" s="2">
        <v>0.3</v>
      </c>
      <c r="F66" s="6">
        <f t="shared" ref="F66:F97" si="4">D66*E66</f>
        <v>19.152000000000001</v>
      </c>
      <c r="G66" s="2" t="s">
        <v>125</v>
      </c>
      <c r="H66" s="2">
        <v>6</v>
      </c>
      <c r="I66" s="2" t="s">
        <v>126</v>
      </c>
      <c r="J66" s="2">
        <v>2</v>
      </c>
      <c r="K66" s="2" t="s">
        <v>127</v>
      </c>
      <c r="L66" s="7">
        <f>IF(R66="Yes",Ref_Assumptions!$C$8,"–")</f>
        <v>20</v>
      </c>
      <c r="M66" s="7">
        <f>IF(R66="Yes",Ref_Assumptions!$C$9,"–")</f>
        <v>15</v>
      </c>
      <c r="N66" s="7">
        <f>IF(R66="Yes",Ref_Assumptions!$C$10,"–")</f>
        <v>26</v>
      </c>
      <c r="O66" s="2">
        <v>70</v>
      </c>
      <c r="P66" s="2">
        <v>40</v>
      </c>
      <c r="Q66" s="2" t="s">
        <v>134</v>
      </c>
      <c r="R66" s="2" t="s">
        <v>135</v>
      </c>
      <c r="S66" s="7">
        <f>IF(R66="Yes",Ref_Assumptions!$C$2,Ref_Assumptions!$C$4)</f>
        <v>10</v>
      </c>
      <c r="T66" s="7">
        <f>IF(R66="Yes",Ref_Assumptions!$C$3,Ref_Assumptions!$C$4)</f>
        <v>0.6</v>
      </c>
      <c r="U66" s="4">
        <f t="shared" ref="U66:U97" si="5">(F66*S66+D66*T66)*3.6</f>
        <v>827.36640000000011</v>
      </c>
      <c r="V66" s="7">
        <f>Ref_Assumptions!$C$5</f>
        <v>0.3</v>
      </c>
      <c r="W66" s="2">
        <v>7</v>
      </c>
      <c r="X66" s="2">
        <v>1.76674</v>
      </c>
      <c r="Y66" s="2" t="s">
        <v>130</v>
      </c>
      <c r="Z66" s="2">
        <v>20</v>
      </c>
    </row>
    <row r="67" spans="1:26" ht="23.25" x14ac:dyDescent="0.45">
      <c r="A67" s="2" t="s">
        <v>224</v>
      </c>
      <c r="B67" s="2" t="s">
        <v>146</v>
      </c>
      <c r="C67" s="2" t="s">
        <v>152</v>
      </c>
      <c r="D67" s="2">
        <v>12.82</v>
      </c>
      <c r="E67" s="2">
        <v>0</v>
      </c>
      <c r="F67" s="6">
        <f t="shared" si="4"/>
        <v>0</v>
      </c>
      <c r="G67" s="2" t="s">
        <v>125</v>
      </c>
      <c r="H67" s="2">
        <v>6</v>
      </c>
      <c r="I67" s="2" t="s">
        <v>126</v>
      </c>
      <c r="J67" s="2">
        <v>2</v>
      </c>
      <c r="K67" s="2" t="s">
        <v>127</v>
      </c>
      <c r="L67" s="7">
        <f>IF(R67="Yes",Ref_Assumptions!$C$8,"–")</f>
        <v>20</v>
      </c>
      <c r="M67" s="7">
        <f>IF(R67="Yes",Ref_Assumptions!$C$9,"–")</f>
        <v>15</v>
      </c>
      <c r="N67" s="7">
        <f>IF(R67="Yes",Ref_Assumptions!$C$10,"–")</f>
        <v>26</v>
      </c>
      <c r="O67" s="2">
        <v>100</v>
      </c>
      <c r="P67" s="2">
        <v>0</v>
      </c>
      <c r="Q67" s="2" t="s">
        <v>134</v>
      </c>
      <c r="R67" s="2" t="s">
        <v>135</v>
      </c>
      <c r="S67" s="7">
        <f>IF(R67="Yes",Ref_Assumptions!$C$2,Ref_Assumptions!$C$4)</f>
        <v>10</v>
      </c>
      <c r="T67" s="7">
        <f>IF(R67="Yes",Ref_Assumptions!$C$3,Ref_Assumptions!$C$4)</f>
        <v>0.6</v>
      </c>
      <c r="U67" s="4">
        <f t="shared" si="5"/>
        <v>27.691200000000002</v>
      </c>
      <c r="V67" s="7">
        <f>Ref_Assumptions!$C$5</f>
        <v>0.3</v>
      </c>
      <c r="W67" s="2">
        <v>0</v>
      </c>
      <c r="X67" s="2">
        <v>8</v>
      </c>
      <c r="Y67" s="2" t="s">
        <v>225</v>
      </c>
      <c r="Z67" s="2">
        <v>22</v>
      </c>
    </row>
    <row r="68" spans="1:26" ht="23.25" x14ac:dyDescent="0.45">
      <c r="A68" s="2" t="s">
        <v>224</v>
      </c>
      <c r="B68" s="2" t="s">
        <v>150</v>
      </c>
      <c r="C68" s="2" t="s">
        <v>147</v>
      </c>
      <c r="D68" s="2">
        <v>26.32</v>
      </c>
      <c r="E68" s="2">
        <v>0</v>
      </c>
      <c r="F68" s="6">
        <f t="shared" si="4"/>
        <v>0</v>
      </c>
      <c r="G68" s="2" t="s">
        <v>125</v>
      </c>
      <c r="H68" s="2">
        <v>6</v>
      </c>
      <c r="I68" s="2" t="s">
        <v>126</v>
      </c>
      <c r="J68" s="2">
        <v>2</v>
      </c>
      <c r="K68" s="2" t="s">
        <v>127</v>
      </c>
      <c r="L68" s="7" t="str">
        <f>IF(R68="Yes",Ref_Assumptions!$C$8,"–")</f>
        <v>–</v>
      </c>
      <c r="M68" s="7" t="str">
        <f>IF(R68="Yes",Ref_Assumptions!$C$9,"–")</f>
        <v>–</v>
      </c>
      <c r="N68" s="7" t="str">
        <f>IF(R68="Yes",Ref_Assumptions!$C$10,"–")</f>
        <v>–</v>
      </c>
      <c r="O68" s="2">
        <v>70</v>
      </c>
      <c r="P68" s="2">
        <v>40</v>
      </c>
      <c r="Q68" s="2" t="s">
        <v>128</v>
      </c>
      <c r="R68" s="2" t="s">
        <v>129</v>
      </c>
      <c r="S68" s="7">
        <f>IF(R68="Yes",Ref_Assumptions!$C$2,Ref_Assumptions!$C$4)</f>
        <v>0</v>
      </c>
      <c r="T68" s="7">
        <f>IF(R68="Yes",Ref_Assumptions!$C$3,Ref_Assumptions!$C$4)</f>
        <v>0</v>
      </c>
      <c r="U68" s="4">
        <f t="shared" si="5"/>
        <v>0</v>
      </c>
      <c r="V68" s="7">
        <f>Ref_Assumptions!$C$5</f>
        <v>0.3</v>
      </c>
      <c r="W68" s="2">
        <v>0</v>
      </c>
      <c r="X68" s="2">
        <v>1</v>
      </c>
      <c r="Y68" s="2" t="s">
        <v>225</v>
      </c>
      <c r="Z68" s="2">
        <v>22</v>
      </c>
    </row>
    <row r="69" spans="1:26" ht="23.25" x14ac:dyDescent="0.45">
      <c r="A69" s="2" t="s">
        <v>224</v>
      </c>
      <c r="B69" s="2" t="s">
        <v>151</v>
      </c>
      <c r="C69" s="2" t="s">
        <v>147</v>
      </c>
      <c r="D69" s="2">
        <v>124.8</v>
      </c>
      <c r="E69" s="2">
        <v>0</v>
      </c>
      <c r="F69" s="6">
        <f t="shared" si="4"/>
        <v>0</v>
      </c>
      <c r="G69" s="2" t="s">
        <v>125</v>
      </c>
      <c r="H69" s="2">
        <v>6</v>
      </c>
      <c r="I69" s="2" t="s">
        <v>154</v>
      </c>
      <c r="J69" s="2">
        <v>0</v>
      </c>
      <c r="K69" s="2" t="s">
        <v>154</v>
      </c>
      <c r="L69" s="7" t="str">
        <f>IF(R69="Yes",Ref_Assumptions!$C$8,"–")</f>
        <v>–</v>
      </c>
      <c r="M69" s="7" t="str">
        <f>IF(R69="Yes",Ref_Assumptions!$C$9,"–")</f>
        <v>–</v>
      </c>
      <c r="N69" s="7" t="str">
        <f>IF(R69="Yes",Ref_Assumptions!$C$10,"–")</f>
        <v>–</v>
      </c>
      <c r="O69" s="2">
        <v>70</v>
      </c>
      <c r="P69" s="2">
        <v>40</v>
      </c>
      <c r="Q69" s="2" t="s">
        <v>128</v>
      </c>
      <c r="R69" s="2" t="s">
        <v>129</v>
      </c>
      <c r="S69" s="7">
        <f>IF(R69="Yes",Ref_Assumptions!$C$2,Ref_Assumptions!$C$4)</f>
        <v>0</v>
      </c>
      <c r="T69" s="7">
        <f>IF(R69="Yes",Ref_Assumptions!$C$3,Ref_Assumptions!$C$4)</f>
        <v>0</v>
      </c>
      <c r="U69" s="4">
        <f t="shared" si="5"/>
        <v>0</v>
      </c>
      <c r="V69" s="7">
        <f>Ref_Assumptions!$C$5</f>
        <v>0.3</v>
      </c>
      <c r="W69" s="2">
        <v>0</v>
      </c>
      <c r="X69" s="2">
        <v>0</v>
      </c>
      <c r="Y69" s="2" t="s">
        <v>225</v>
      </c>
      <c r="Z69" s="2">
        <v>22</v>
      </c>
    </row>
    <row r="70" spans="1:26" ht="23.25" x14ac:dyDescent="0.45">
      <c r="A70" s="2" t="s">
        <v>224</v>
      </c>
      <c r="B70" s="2" t="s">
        <v>153</v>
      </c>
      <c r="C70" s="2" t="s">
        <v>147</v>
      </c>
      <c r="D70" s="2">
        <v>5.9</v>
      </c>
      <c r="E70" s="2">
        <v>0</v>
      </c>
      <c r="F70" s="6">
        <f t="shared" si="4"/>
        <v>0</v>
      </c>
      <c r="G70" s="2" t="s">
        <v>125</v>
      </c>
      <c r="H70" s="2">
        <v>6</v>
      </c>
      <c r="I70" s="2" t="s">
        <v>126</v>
      </c>
      <c r="J70" s="2">
        <v>2</v>
      </c>
      <c r="K70" s="2" t="s">
        <v>127</v>
      </c>
      <c r="L70" s="7" t="str">
        <f>IF(R70="Yes",Ref_Assumptions!$C$8,"–")</f>
        <v>–</v>
      </c>
      <c r="M70" s="7" t="str">
        <f>IF(R70="Yes",Ref_Assumptions!$C$9,"–")</f>
        <v>–</v>
      </c>
      <c r="N70" s="7" t="str">
        <f>IF(R70="Yes",Ref_Assumptions!$C$10,"–")</f>
        <v>–</v>
      </c>
      <c r="O70" s="2">
        <v>70</v>
      </c>
      <c r="P70" s="2">
        <v>40</v>
      </c>
      <c r="Q70" s="2" t="s">
        <v>128</v>
      </c>
      <c r="R70" s="2" t="s">
        <v>129</v>
      </c>
      <c r="S70" s="7">
        <f>IF(R70="Yes",Ref_Assumptions!$C$2,Ref_Assumptions!$C$4)</f>
        <v>0</v>
      </c>
      <c r="T70" s="7">
        <f>IF(R70="Yes",Ref_Assumptions!$C$3,Ref_Assumptions!$C$4)</f>
        <v>0</v>
      </c>
      <c r="U70" s="4">
        <f t="shared" si="5"/>
        <v>0</v>
      </c>
      <c r="V70" s="7">
        <f>Ref_Assumptions!$C$5</f>
        <v>0.3</v>
      </c>
      <c r="W70" s="2">
        <v>0</v>
      </c>
      <c r="X70" s="2">
        <v>0</v>
      </c>
      <c r="Y70" s="2" t="s">
        <v>225</v>
      </c>
      <c r="Z70" s="2">
        <v>22</v>
      </c>
    </row>
    <row r="71" spans="1:26" ht="23.25" x14ac:dyDescent="0.45">
      <c r="A71" s="2" t="s">
        <v>224</v>
      </c>
      <c r="B71" s="2" t="s">
        <v>155</v>
      </c>
      <c r="C71" s="2" t="s">
        <v>147</v>
      </c>
      <c r="D71" s="2">
        <v>74.92</v>
      </c>
      <c r="E71" s="2">
        <v>0</v>
      </c>
      <c r="F71" s="6">
        <f t="shared" si="4"/>
        <v>0</v>
      </c>
      <c r="G71" s="2" t="s">
        <v>125</v>
      </c>
      <c r="H71" s="2">
        <v>6</v>
      </c>
      <c r="I71" s="2" t="s">
        <v>148</v>
      </c>
      <c r="J71" s="2">
        <v>2</v>
      </c>
      <c r="K71" s="2" t="s">
        <v>127</v>
      </c>
      <c r="L71" s="7" t="str">
        <f>IF(R71="Yes",Ref_Assumptions!$C$8,"–")</f>
        <v>–</v>
      </c>
      <c r="M71" s="7" t="str">
        <f>IF(R71="Yes",Ref_Assumptions!$C$9,"–")</f>
        <v>–</v>
      </c>
      <c r="N71" s="7" t="str">
        <f>IF(R71="Yes",Ref_Assumptions!$C$10,"–")</f>
        <v>–</v>
      </c>
      <c r="O71" s="2">
        <v>70</v>
      </c>
      <c r="P71" s="2">
        <v>40</v>
      </c>
      <c r="Q71" s="2" t="s">
        <v>128</v>
      </c>
      <c r="R71" s="2" t="s">
        <v>129</v>
      </c>
      <c r="S71" s="7">
        <f>IF(R71="Yes",Ref_Assumptions!$C$2,Ref_Assumptions!$C$4)</f>
        <v>0</v>
      </c>
      <c r="T71" s="7">
        <f>IF(R71="Yes",Ref_Assumptions!$C$3,Ref_Assumptions!$C$4)</f>
        <v>0</v>
      </c>
      <c r="U71" s="4">
        <f t="shared" si="5"/>
        <v>0</v>
      </c>
      <c r="V71" s="7">
        <f>Ref_Assumptions!$C$5</f>
        <v>0.3</v>
      </c>
      <c r="W71" s="2">
        <v>0</v>
      </c>
      <c r="X71" s="2">
        <v>0</v>
      </c>
      <c r="Y71" s="2" t="s">
        <v>225</v>
      </c>
      <c r="Z71" s="2">
        <v>22</v>
      </c>
    </row>
    <row r="72" spans="1:26" ht="23.25" x14ac:dyDescent="0.45">
      <c r="A72" s="2" t="s">
        <v>224</v>
      </c>
      <c r="B72" s="2" t="s">
        <v>156</v>
      </c>
      <c r="C72" s="2" t="s">
        <v>152</v>
      </c>
      <c r="D72" s="2">
        <v>38.03</v>
      </c>
      <c r="E72" s="2">
        <v>0</v>
      </c>
      <c r="F72" s="6">
        <f t="shared" si="4"/>
        <v>0</v>
      </c>
      <c r="G72" s="2" t="s">
        <v>125</v>
      </c>
      <c r="H72" s="2">
        <v>6</v>
      </c>
      <c r="I72" s="2" t="s">
        <v>154</v>
      </c>
      <c r="J72" s="2">
        <v>0</v>
      </c>
      <c r="K72" s="2" t="s">
        <v>154</v>
      </c>
      <c r="L72" s="7">
        <f>IF(R72="Yes",Ref_Assumptions!$C$8,"–")</f>
        <v>20</v>
      </c>
      <c r="M72" s="7">
        <f>IF(R72="Yes",Ref_Assumptions!$C$9,"–")</f>
        <v>15</v>
      </c>
      <c r="N72" s="7">
        <f>IF(R72="Yes",Ref_Assumptions!$C$10,"–")</f>
        <v>26</v>
      </c>
      <c r="O72" s="2">
        <v>70</v>
      </c>
      <c r="P72" s="2">
        <v>40</v>
      </c>
      <c r="Q72" s="2" t="s">
        <v>134</v>
      </c>
      <c r="R72" s="2" t="s">
        <v>135</v>
      </c>
      <c r="S72" s="7">
        <f>IF(R72="Yes",Ref_Assumptions!$C$2,Ref_Assumptions!$C$4)</f>
        <v>10</v>
      </c>
      <c r="T72" s="7">
        <f>IF(R72="Yes",Ref_Assumptions!$C$3,Ref_Assumptions!$C$4)</f>
        <v>0.6</v>
      </c>
      <c r="U72" s="4">
        <f t="shared" si="5"/>
        <v>82.144800000000004</v>
      </c>
      <c r="V72" s="7">
        <f>Ref_Assumptions!$C$5</f>
        <v>0.3</v>
      </c>
      <c r="W72" s="2">
        <v>0</v>
      </c>
      <c r="X72" s="2">
        <v>1</v>
      </c>
      <c r="Y72" s="2" t="s">
        <v>225</v>
      </c>
      <c r="Z72" s="2">
        <v>22</v>
      </c>
    </row>
    <row r="73" spans="1:26" ht="23.25" x14ac:dyDescent="0.45">
      <c r="A73" s="2" t="s">
        <v>224</v>
      </c>
      <c r="B73" s="2" t="s">
        <v>157</v>
      </c>
      <c r="C73" s="2" t="s">
        <v>147</v>
      </c>
      <c r="D73" s="2">
        <v>8.58</v>
      </c>
      <c r="E73" s="2">
        <v>0</v>
      </c>
      <c r="F73" s="6">
        <f t="shared" si="4"/>
        <v>0</v>
      </c>
      <c r="G73" s="2" t="s">
        <v>226</v>
      </c>
      <c r="H73" s="2">
        <v>6</v>
      </c>
      <c r="I73" s="2" t="s">
        <v>126</v>
      </c>
      <c r="J73" s="2">
        <v>2</v>
      </c>
      <c r="K73" s="2" t="s">
        <v>127</v>
      </c>
      <c r="L73" s="7" t="str">
        <f>IF(R73="Yes",Ref_Assumptions!$C$8,"–")</f>
        <v>–</v>
      </c>
      <c r="M73" s="7" t="str">
        <f>IF(R73="Yes",Ref_Assumptions!$C$9,"–")</f>
        <v>–</v>
      </c>
      <c r="N73" s="7" t="str">
        <f>IF(R73="Yes",Ref_Assumptions!$C$10,"–")</f>
        <v>–</v>
      </c>
      <c r="O73" s="2">
        <v>100</v>
      </c>
      <c r="P73" s="2">
        <v>0</v>
      </c>
      <c r="Q73" s="2" t="s">
        <v>128</v>
      </c>
      <c r="R73" s="2" t="s">
        <v>129</v>
      </c>
      <c r="S73" s="7">
        <f>IF(R73="Yes",Ref_Assumptions!$C$2,Ref_Assumptions!$C$4)</f>
        <v>0</v>
      </c>
      <c r="T73" s="7">
        <f>IF(R73="Yes",Ref_Assumptions!$C$3,Ref_Assumptions!$C$4)</f>
        <v>0</v>
      </c>
      <c r="U73" s="4">
        <f t="shared" si="5"/>
        <v>0</v>
      </c>
      <c r="V73" s="7">
        <f>Ref_Assumptions!$C$5</f>
        <v>0.3</v>
      </c>
      <c r="W73" s="2">
        <v>0</v>
      </c>
      <c r="X73" s="2">
        <v>0</v>
      </c>
      <c r="Y73" s="2" t="s">
        <v>225</v>
      </c>
      <c r="Z73" s="2">
        <v>22</v>
      </c>
    </row>
    <row r="74" spans="1:26" ht="23.25" x14ac:dyDescent="0.45">
      <c r="A74" s="2" t="s">
        <v>224</v>
      </c>
      <c r="B74" s="2" t="s">
        <v>158</v>
      </c>
      <c r="C74" s="2" t="s">
        <v>147</v>
      </c>
      <c r="D74" s="2">
        <v>64.2</v>
      </c>
      <c r="E74" s="2">
        <v>0</v>
      </c>
      <c r="F74" s="6">
        <f t="shared" si="4"/>
        <v>0</v>
      </c>
      <c r="G74" s="2" t="s">
        <v>125</v>
      </c>
      <c r="H74" s="2">
        <v>6</v>
      </c>
      <c r="I74" s="2" t="s">
        <v>154</v>
      </c>
      <c r="J74" s="2">
        <v>0</v>
      </c>
      <c r="K74" s="2" t="s">
        <v>154</v>
      </c>
      <c r="L74" s="7" t="str">
        <f>IF(R74="Yes",Ref_Assumptions!$C$8,"–")</f>
        <v>–</v>
      </c>
      <c r="M74" s="7" t="str">
        <f>IF(R74="Yes",Ref_Assumptions!$C$9,"–")</f>
        <v>–</v>
      </c>
      <c r="N74" s="7" t="str">
        <f>IF(R74="Yes",Ref_Assumptions!$C$10,"–")</f>
        <v>–</v>
      </c>
      <c r="O74" s="2">
        <v>70</v>
      </c>
      <c r="P74" s="2">
        <v>40</v>
      </c>
      <c r="Q74" s="2" t="s">
        <v>128</v>
      </c>
      <c r="R74" s="2" t="s">
        <v>129</v>
      </c>
      <c r="S74" s="7">
        <f>IF(R74="Yes",Ref_Assumptions!$C$2,Ref_Assumptions!$C$4)</f>
        <v>0</v>
      </c>
      <c r="T74" s="7">
        <f>IF(R74="Yes",Ref_Assumptions!$C$3,Ref_Assumptions!$C$4)</f>
        <v>0</v>
      </c>
      <c r="U74" s="4">
        <f t="shared" si="5"/>
        <v>0</v>
      </c>
      <c r="V74" s="7">
        <f>Ref_Assumptions!$C$5</f>
        <v>0.3</v>
      </c>
      <c r="W74" s="2">
        <v>0</v>
      </c>
      <c r="X74" s="2">
        <v>0</v>
      </c>
      <c r="Y74" s="2" t="s">
        <v>225</v>
      </c>
      <c r="Z74" s="2">
        <v>22</v>
      </c>
    </row>
    <row r="75" spans="1:26" ht="23.25" x14ac:dyDescent="0.45">
      <c r="A75" s="2" t="s">
        <v>224</v>
      </c>
      <c r="B75" s="2" t="s">
        <v>159</v>
      </c>
      <c r="C75" s="2" t="s">
        <v>152</v>
      </c>
      <c r="D75" s="2">
        <v>537.39</v>
      </c>
      <c r="E75" s="2">
        <v>0</v>
      </c>
      <c r="F75" s="6">
        <f t="shared" si="4"/>
        <v>0</v>
      </c>
      <c r="G75" s="2" t="s">
        <v>125</v>
      </c>
      <c r="H75" s="2">
        <v>6</v>
      </c>
      <c r="I75" s="2" t="s">
        <v>148</v>
      </c>
      <c r="J75" s="2">
        <v>0</v>
      </c>
      <c r="K75" s="2" t="s">
        <v>149</v>
      </c>
      <c r="L75" s="7">
        <f>IF(R75="Yes",Ref_Assumptions!$C$8,"–")</f>
        <v>20</v>
      </c>
      <c r="M75" s="7">
        <f>IF(R75="Yes",Ref_Assumptions!$C$9,"–")</f>
        <v>15</v>
      </c>
      <c r="N75" s="7">
        <f>IF(R75="Yes",Ref_Assumptions!$C$10,"–")</f>
        <v>26</v>
      </c>
      <c r="O75" s="2">
        <v>70</v>
      </c>
      <c r="P75" s="2">
        <v>40</v>
      </c>
      <c r="Q75" s="2" t="s">
        <v>134</v>
      </c>
      <c r="R75" s="2" t="s">
        <v>135</v>
      </c>
      <c r="S75" s="7">
        <f>IF(R75="Yes",Ref_Assumptions!$C$2,Ref_Assumptions!$C$4)</f>
        <v>10</v>
      </c>
      <c r="T75" s="7">
        <f>IF(R75="Yes",Ref_Assumptions!$C$3,Ref_Assumptions!$C$4)</f>
        <v>0.6</v>
      </c>
      <c r="U75" s="4">
        <f t="shared" si="5"/>
        <v>1160.7623999999998</v>
      </c>
      <c r="V75" s="7">
        <f>Ref_Assumptions!$C$5</f>
        <v>0.3</v>
      </c>
      <c r="W75" s="2">
        <v>0</v>
      </c>
      <c r="X75" s="2">
        <v>1</v>
      </c>
      <c r="Y75" s="2" t="s">
        <v>225</v>
      </c>
      <c r="Z75" s="2">
        <v>22</v>
      </c>
    </row>
    <row r="76" spans="1:26" ht="23.25" x14ac:dyDescent="0.45">
      <c r="A76" s="2" t="s">
        <v>224</v>
      </c>
      <c r="B76" s="2" t="s">
        <v>160</v>
      </c>
      <c r="C76" s="2" t="s">
        <v>152</v>
      </c>
      <c r="D76" s="2">
        <v>66.069999999999993</v>
      </c>
      <c r="E76" s="2">
        <v>0</v>
      </c>
      <c r="F76" s="6">
        <f t="shared" si="4"/>
        <v>0</v>
      </c>
      <c r="G76" s="2" t="s">
        <v>125</v>
      </c>
      <c r="H76" s="2">
        <v>6</v>
      </c>
      <c r="I76" s="2" t="s">
        <v>126</v>
      </c>
      <c r="J76" s="2">
        <v>0</v>
      </c>
      <c r="K76" s="2" t="s">
        <v>149</v>
      </c>
      <c r="L76" s="7">
        <f>IF(R76="Yes",Ref_Assumptions!$C$8,"–")</f>
        <v>20</v>
      </c>
      <c r="M76" s="7">
        <f>IF(R76="Yes",Ref_Assumptions!$C$9,"–")</f>
        <v>15</v>
      </c>
      <c r="N76" s="7">
        <f>IF(R76="Yes",Ref_Assumptions!$C$10,"–")</f>
        <v>26</v>
      </c>
      <c r="O76" s="2">
        <v>70</v>
      </c>
      <c r="P76" s="2">
        <v>40</v>
      </c>
      <c r="Q76" s="2" t="s">
        <v>134</v>
      </c>
      <c r="R76" s="2" t="s">
        <v>135</v>
      </c>
      <c r="S76" s="7">
        <f>IF(R76="Yes",Ref_Assumptions!$C$2,Ref_Assumptions!$C$4)</f>
        <v>10</v>
      </c>
      <c r="T76" s="7">
        <f>IF(R76="Yes",Ref_Assumptions!$C$3,Ref_Assumptions!$C$4)</f>
        <v>0.6</v>
      </c>
      <c r="U76" s="4">
        <f t="shared" si="5"/>
        <v>142.71119999999999</v>
      </c>
      <c r="V76" s="7">
        <f>Ref_Assumptions!$C$5</f>
        <v>0.3</v>
      </c>
      <c r="W76" s="2">
        <v>0</v>
      </c>
      <c r="X76" s="2">
        <v>8</v>
      </c>
      <c r="Y76" s="2" t="s">
        <v>225</v>
      </c>
      <c r="Z76" s="2">
        <v>22</v>
      </c>
    </row>
    <row r="77" spans="1:26" ht="23.25" x14ac:dyDescent="0.45">
      <c r="A77" s="2" t="s">
        <v>224</v>
      </c>
      <c r="B77" s="2" t="s">
        <v>162</v>
      </c>
      <c r="C77" s="2" t="s">
        <v>147</v>
      </c>
      <c r="D77" s="2">
        <v>20.66</v>
      </c>
      <c r="E77" s="2">
        <v>0</v>
      </c>
      <c r="F77" s="6">
        <f t="shared" si="4"/>
        <v>0</v>
      </c>
      <c r="G77" s="2" t="s">
        <v>125</v>
      </c>
      <c r="H77" s="2">
        <v>6</v>
      </c>
      <c r="I77" s="2" t="s">
        <v>154</v>
      </c>
      <c r="J77" s="2">
        <v>0</v>
      </c>
      <c r="K77" s="2" t="s">
        <v>154</v>
      </c>
      <c r="L77" s="7" t="str">
        <f>IF(R77="Yes",Ref_Assumptions!$C$8,"–")</f>
        <v>–</v>
      </c>
      <c r="M77" s="7" t="str">
        <f>IF(R77="Yes",Ref_Assumptions!$C$9,"–")</f>
        <v>–</v>
      </c>
      <c r="N77" s="7" t="str">
        <f>IF(R77="Yes",Ref_Assumptions!$C$10,"–")</f>
        <v>–</v>
      </c>
      <c r="O77" s="2">
        <v>70</v>
      </c>
      <c r="P77" s="2">
        <v>40</v>
      </c>
      <c r="Q77" s="2" t="s">
        <v>128</v>
      </c>
      <c r="R77" s="2" t="s">
        <v>129</v>
      </c>
      <c r="S77" s="7">
        <f>IF(R77="Yes",Ref_Assumptions!$C$2,Ref_Assumptions!$C$4)</f>
        <v>0</v>
      </c>
      <c r="T77" s="7">
        <f>IF(R77="Yes",Ref_Assumptions!$C$3,Ref_Assumptions!$C$4)</f>
        <v>0</v>
      </c>
      <c r="U77" s="4">
        <f t="shared" si="5"/>
        <v>0</v>
      </c>
      <c r="V77" s="7">
        <f>Ref_Assumptions!$C$5</f>
        <v>0.3</v>
      </c>
      <c r="W77" s="2">
        <v>0</v>
      </c>
      <c r="X77" s="2">
        <v>1</v>
      </c>
      <c r="Y77" s="2" t="s">
        <v>225</v>
      </c>
      <c r="Z77" s="2">
        <v>22</v>
      </c>
    </row>
    <row r="78" spans="1:26" ht="23.25" x14ac:dyDescent="0.45">
      <c r="A78" s="2" t="s">
        <v>224</v>
      </c>
      <c r="B78" s="2" t="s">
        <v>163</v>
      </c>
      <c r="C78" s="2" t="s">
        <v>147</v>
      </c>
      <c r="D78" s="2">
        <v>287.55</v>
      </c>
      <c r="E78" s="2">
        <v>0</v>
      </c>
      <c r="F78" s="6">
        <f t="shared" si="4"/>
        <v>0</v>
      </c>
      <c r="G78" s="2" t="s">
        <v>125</v>
      </c>
      <c r="H78" s="2">
        <v>6</v>
      </c>
      <c r="I78" s="2" t="s">
        <v>154</v>
      </c>
      <c r="J78" s="2">
        <v>0</v>
      </c>
      <c r="K78" s="2" t="s">
        <v>154</v>
      </c>
      <c r="L78" s="7" t="str">
        <f>IF(R78="Yes",Ref_Assumptions!$C$8,"–")</f>
        <v>–</v>
      </c>
      <c r="M78" s="7" t="str">
        <f>IF(R78="Yes",Ref_Assumptions!$C$9,"–")</f>
        <v>–</v>
      </c>
      <c r="N78" s="7" t="str">
        <f>IF(R78="Yes",Ref_Assumptions!$C$10,"–")</f>
        <v>–</v>
      </c>
      <c r="O78" s="2">
        <v>70</v>
      </c>
      <c r="P78" s="2">
        <v>40</v>
      </c>
      <c r="Q78" s="2" t="s">
        <v>128</v>
      </c>
      <c r="R78" s="2" t="s">
        <v>129</v>
      </c>
      <c r="S78" s="7">
        <f>IF(R78="Yes",Ref_Assumptions!$C$2,Ref_Assumptions!$C$4)</f>
        <v>0</v>
      </c>
      <c r="T78" s="7">
        <f>IF(R78="Yes",Ref_Assumptions!$C$3,Ref_Assumptions!$C$4)</f>
        <v>0</v>
      </c>
      <c r="U78" s="4">
        <f t="shared" si="5"/>
        <v>0</v>
      </c>
      <c r="V78" s="7">
        <f>Ref_Assumptions!$C$5</f>
        <v>0.3</v>
      </c>
      <c r="W78" s="2">
        <v>0</v>
      </c>
      <c r="X78" s="2">
        <v>0</v>
      </c>
      <c r="Y78" s="2" t="s">
        <v>225</v>
      </c>
      <c r="Z78" s="2">
        <v>22</v>
      </c>
    </row>
    <row r="79" spans="1:26" ht="23.25" x14ac:dyDescent="0.45">
      <c r="A79" s="2" t="s">
        <v>224</v>
      </c>
      <c r="B79" s="2" t="s">
        <v>227</v>
      </c>
      <c r="C79" s="2" t="s">
        <v>228</v>
      </c>
      <c r="D79" s="2">
        <v>282.3</v>
      </c>
      <c r="E79" s="2">
        <v>0.8</v>
      </c>
      <c r="F79" s="6">
        <f t="shared" si="4"/>
        <v>225.84000000000003</v>
      </c>
      <c r="G79" s="2" t="s">
        <v>125</v>
      </c>
      <c r="H79" s="2">
        <v>6</v>
      </c>
      <c r="I79" s="2" t="s">
        <v>126</v>
      </c>
      <c r="J79" s="2">
        <v>0</v>
      </c>
      <c r="K79" s="2" t="s">
        <v>149</v>
      </c>
      <c r="L79" s="7">
        <f>IF(R79="Yes",Ref_Assumptions!$C$8,"–")</f>
        <v>20</v>
      </c>
      <c r="M79" s="7">
        <f>IF(R79="Yes",Ref_Assumptions!$C$9,"–")</f>
        <v>15</v>
      </c>
      <c r="N79" s="7">
        <f>IF(R79="Yes",Ref_Assumptions!$C$10,"–")</f>
        <v>26</v>
      </c>
      <c r="O79" s="2">
        <v>70</v>
      </c>
      <c r="P79" s="2">
        <v>40</v>
      </c>
      <c r="Q79" s="2" t="s">
        <v>134</v>
      </c>
      <c r="R79" s="2" t="s">
        <v>135</v>
      </c>
      <c r="S79" s="7">
        <f>IF(R79="Yes",Ref_Assumptions!$C$2,Ref_Assumptions!$C$4)</f>
        <v>10</v>
      </c>
      <c r="T79" s="7">
        <f>IF(R79="Yes",Ref_Assumptions!$C$3,Ref_Assumptions!$C$4)</f>
        <v>0.6</v>
      </c>
      <c r="U79" s="4">
        <f t="shared" si="5"/>
        <v>8740.0080000000034</v>
      </c>
      <c r="V79" s="7">
        <f>Ref_Assumptions!$C$5</f>
        <v>0.3</v>
      </c>
      <c r="W79" s="2">
        <v>7</v>
      </c>
      <c r="X79" s="2">
        <v>4.81128</v>
      </c>
      <c r="Y79" s="2" t="s">
        <v>225</v>
      </c>
      <c r="Z79" s="2">
        <v>22</v>
      </c>
    </row>
    <row r="80" spans="1:26" ht="23.25" x14ac:dyDescent="0.45">
      <c r="A80" s="2" t="s">
        <v>224</v>
      </c>
      <c r="B80" s="2" t="s">
        <v>168</v>
      </c>
      <c r="C80" s="2" t="s">
        <v>152</v>
      </c>
      <c r="D80" s="2">
        <v>10.17</v>
      </c>
      <c r="E80" s="2">
        <v>0</v>
      </c>
      <c r="F80" s="6">
        <f t="shared" si="4"/>
        <v>0</v>
      </c>
      <c r="G80" s="2" t="s">
        <v>125</v>
      </c>
      <c r="H80" s="2">
        <v>6</v>
      </c>
      <c r="I80" s="2" t="s">
        <v>148</v>
      </c>
      <c r="J80" s="2">
        <v>0</v>
      </c>
      <c r="K80" s="2" t="s">
        <v>149</v>
      </c>
      <c r="L80" s="7">
        <f>IF(R80="Yes",Ref_Assumptions!$C$8,"–")</f>
        <v>20</v>
      </c>
      <c r="M80" s="7">
        <f>IF(R80="Yes",Ref_Assumptions!$C$9,"–")</f>
        <v>15</v>
      </c>
      <c r="N80" s="7">
        <f>IF(R80="Yes",Ref_Assumptions!$C$10,"–")</f>
        <v>26</v>
      </c>
      <c r="O80" s="2">
        <v>70</v>
      </c>
      <c r="P80" s="2">
        <v>40</v>
      </c>
      <c r="Q80" s="2" t="s">
        <v>134</v>
      </c>
      <c r="R80" s="2" t="s">
        <v>135</v>
      </c>
      <c r="S80" s="7">
        <f>IF(R80="Yes",Ref_Assumptions!$C$2,Ref_Assumptions!$C$4)</f>
        <v>10</v>
      </c>
      <c r="T80" s="7">
        <f>IF(R80="Yes",Ref_Assumptions!$C$3,Ref_Assumptions!$C$4)</f>
        <v>0.6</v>
      </c>
      <c r="U80" s="4">
        <f t="shared" si="5"/>
        <v>21.967199999999998</v>
      </c>
      <c r="V80" s="7">
        <f>Ref_Assumptions!$C$5</f>
        <v>0.3</v>
      </c>
      <c r="W80" s="2">
        <v>0</v>
      </c>
      <c r="X80" s="2">
        <v>0</v>
      </c>
      <c r="Y80" s="2" t="s">
        <v>225</v>
      </c>
      <c r="Z80" s="2">
        <v>22</v>
      </c>
    </row>
    <row r="81" spans="1:26" ht="23.25" x14ac:dyDescent="0.45">
      <c r="A81" s="2" t="s">
        <v>224</v>
      </c>
      <c r="B81" s="2" t="s">
        <v>169</v>
      </c>
      <c r="C81" s="2" t="s">
        <v>173</v>
      </c>
      <c r="D81" s="2">
        <v>65.63</v>
      </c>
      <c r="E81" s="2">
        <v>0.3</v>
      </c>
      <c r="F81" s="6">
        <f t="shared" si="4"/>
        <v>19.688999999999997</v>
      </c>
      <c r="G81" s="2" t="s">
        <v>125</v>
      </c>
      <c r="H81" s="2">
        <v>6</v>
      </c>
      <c r="I81" s="2" t="s">
        <v>148</v>
      </c>
      <c r="J81" s="2">
        <v>0</v>
      </c>
      <c r="K81" s="2" t="s">
        <v>149</v>
      </c>
      <c r="L81" s="7">
        <f>IF(R81="Yes",Ref_Assumptions!$C$8,"–")</f>
        <v>20</v>
      </c>
      <c r="M81" s="7">
        <f>IF(R81="Yes",Ref_Assumptions!$C$9,"–")</f>
        <v>15</v>
      </c>
      <c r="N81" s="7">
        <f>IF(R81="Yes",Ref_Assumptions!$C$10,"–")</f>
        <v>26</v>
      </c>
      <c r="O81" s="2">
        <v>70</v>
      </c>
      <c r="P81" s="2">
        <v>40</v>
      </c>
      <c r="Q81" s="2" t="s">
        <v>134</v>
      </c>
      <c r="R81" s="2" t="s">
        <v>135</v>
      </c>
      <c r="S81" s="7">
        <f>IF(R81="Yes",Ref_Assumptions!$C$2,Ref_Assumptions!$C$4)</f>
        <v>10</v>
      </c>
      <c r="T81" s="7">
        <f>IF(R81="Yes",Ref_Assumptions!$C$3,Ref_Assumptions!$C$4)</f>
        <v>0.6</v>
      </c>
      <c r="U81" s="4">
        <f t="shared" si="5"/>
        <v>850.56479999999976</v>
      </c>
      <c r="V81" s="7">
        <f>Ref_Assumptions!$C$5</f>
        <v>0.3</v>
      </c>
      <c r="W81" s="2">
        <v>7</v>
      </c>
      <c r="X81" s="2">
        <v>1.8314699999999999</v>
      </c>
      <c r="Y81" s="2" t="s">
        <v>225</v>
      </c>
      <c r="Z81" s="2">
        <v>22</v>
      </c>
    </row>
    <row r="82" spans="1:26" ht="23.25" x14ac:dyDescent="0.45">
      <c r="A82" s="2" t="s">
        <v>224</v>
      </c>
      <c r="B82" s="2" t="s">
        <v>170</v>
      </c>
      <c r="C82" s="2" t="s">
        <v>161</v>
      </c>
      <c r="D82" s="2">
        <v>321.56</v>
      </c>
      <c r="E82" s="2">
        <v>0.6</v>
      </c>
      <c r="F82" s="6">
        <f t="shared" si="4"/>
        <v>192.93600000000001</v>
      </c>
      <c r="G82" s="2" t="s">
        <v>229</v>
      </c>
      <c r="H82" s="2">
        <v>6</v>
      </c>
      <c r="I82" s="2" t="s">
        <v>230</v>
      </c>
      <c r="J82" s="2">
        <v>10</v>
      </c>
      <c r="K82" s="2" t="s">
        <v>231</v>
      </c>
      <c r="L82" s="7">
        <f>IF(R82="Yes",Ref_Assumptions!$C$8,"–")</f>
        <v>20</v>
      </c>
      <c r="M82" s="7">
        <f>IF(R82="Yes",Ref_Assumptions!$C$9,"–")</f>
        <v>15</v>
      </c>
      <c r="N82" s="7">
        <f>IF(R82="Yes",Ref_Assumptions!$C$10,"–")</f>
        <v>26</v>
      </c>
      <c r="O82" s="2">
        <v>70</v>
      </c>
      <c r="P82" s="2">
        <v>40</v>
      </c>
      <c r="Q82" s="2" t="s">
        <v>134</v>
      </c>
      <c r="R82" s="2" t="s">
        <v>135</v>
      </c>
      <c r="S82" s="7">
        <f>IF(R82="Yes",Ref_Assumptions!$C$2,Ref_Assumptions!$C$4)</f>
        <v>10</v>
      </c>
      <c r="T82" s="7">
        <f>IF(R82="Yes",Ref_Assumptions!$C$3,Ref_Assumptions!$C$4)</f>
        <v>0.6</v>
      </c>
      <c r="U82" s="4">
        <f t="shared" si="5"/>
        <v>7640.2656000000015</v>
      </c>
      <c r="V82" s="7">
        <f>Ref_Assumptions!$C$5</f>
        <v>0.3</v>
      </c>
      <c r="W82" s="2">
        <v>7</v>
      </c>
      <c r="X82" s="2">
        <v>3.3027000000000002</v>
      </c>
      <c r="Y82" s="2" t="s">
        <v>225</v>
      </c>
      <c r="Z82" s="2">
        <v>22</v>
      </c>
    </row>
    <row r="83" spans="1:26" ht="23.25" x14ac:dyDescent="0.45">
      <c r="A83" s="2" t="s">
        <v>224</v>
      </c>
      <c r="B83" s="2" t="s">
        <v>172</v>
      </c>
      <c r="C83" s="2" t="s">
        <v>161</v>
      </c>
      <c r="D83" s="2">
        <v>217.82</v>
      </c>
      <c r="E83" s="2">
        <v>0.6</v>
      </c>
      <c r="F83" s="6">
        <f t="shared" si="4"/>
        <v>130.69199999999998</v>
      </c>
      <c r="G83" s="2" t="s">
        <v>232</v>
      </c>
      <c r="H83" s="2">
        <v>6</v>
      </c>
      <c r="I83" s="2" t="s">
        <v>233</v>
      </c>
      <c r="J83" s="2">
        <v>10</v>
      </c>
      <c r="K83" s="2" t="s">
        <v>234</v>
      </c>
      <c r="L83" s="7">
        <f>IF(R83="Yes",Ref_Assumptions!$C$8,"–")</f>
        <v>20</v>
      </c>
      <c r="M83" s="7">
        <f>IF(R83="Yes",Ref_Assumptions!$C$9,"–")</f>
        <v>15</v>
      </c>
      <c r="N83" s="7">
        <f>IF(R83="Yes",Ref_Assumptions!$C$10,"–")</f>
        <v>26</v>
      </c>
      <c r="O83" s="2">
        <v>70</v>
      </c>
      <c r="P83" s="2">
        <v>40</v>
      </c>
      <c r="Q83" s="2" t="s">
        <v>134</v>
      </c>
      <c r="R83" s="2" t="s">
        <v>135</v>
      </c>
      <c r="S83" s="7">
        <f>IF(R83="Yes",Ref_Assumptions!$C$2,Ref_Assumptions!$C$4)</f>
        <v>10</v>
      </c>
      <c r="T83" s="7">
        <f>IF(R83="Yes",Ref_Assumptions!$C$3,Ref_Assumptions!$C$4)</f>
        <v>0.6</v>
      </c>
      <c r="U83" s="4">
        <f t="shared" si="5"/>
        <v>5175.4031999999997</v>
      </c>
      <c r="V83" s="7">
        <f>Ref_Assumptions!$C$5</f>
        <v>0.3</v>
      </c>
      <c r="W83" s="2">
        <v>7</v>
      </c>
      <c r="X83" s="2">
        <v>1.44286</v>
      </c>
      <c r="Y83" s="2" t="s">
        <v>225</v>
      </c>
      <c r="Z83" s="2">
        <v>22</v>
      </c>
    </row>
    <row r="84" spans="1:26" ht="23.25" x14ac:dyDescent="0.45">
      <c r="A84" s="2" t="s">
        <v>224</v>
      </c>
      <c r="B84" s="2" t="s">
        <v>174</v>
      </c>
      <c r="C84" s="2" t="s">
        <v>152</v>
      </c>
      <c r="D84" s="2">
        <v>9.2200000000000006</v>
      </c>
      <c r="E84" s="2">
        <v>0</v>
      </c>
      <c r="F84" s="6">
        <f t="shared" si="4"/>
        <v>0</v>
      </c>
      <c r="G84" s="2" t="s">
        <v>125</v>
      </c>
      <c r="H84" s="2">
        <v>6</v>
      </c>
      <c r="I84" s="2" t="s">
        <v>126</v>
      </c>
      <c r="J84" s="2">
        <v>2</v>
      </c>
      <c r="K84" s="2" t="s">
        <v>127</v>
      </c>
      <c r="L84" s="7">
        <f>IF(R84="Yes",Ref_Assumptions!$C$8,"–")</f>
        <v>20</v>
      </c>
      <c r="M84" s="7">
        <f>IF(R84="Yes",Ref_Assumptions!$C$9,"–")</f>
        <v>15</v>
      </c>
      <c r="N84" s="7">
        <f>IF(R84="Yes",Ref_Assumptions!$C$10,"–")</f>
        <v>26</v>
      </c>
      <c r="O84" s="2">
        <v>70</v>
      </c>
      <c r="P84" s="2">
        <v>40</v>
      </c>
      <c r="Q84" s="2" t="s">
        <v>134</v>
      </c>
      <c r="R84" s="2" t="s">
        <v>135</v>
      </c>
      <c r="S84" s="7">
        <f>IF(R84="Yes",Ref_Assumptions!$C$2,Ref_Assumptions!$C$4)</f>
        <v>10</v>
      </c>
      <c r="T84" s="7">
        <f>IF(R84="Yes",Ref_Assumptions!$C$3,Ref_Assumptions!$C$4)</f>
        <v>0.6</v>
      </c>
      <c r="U84" s="4">
        <f t="shared" si="5"/>
        <v>19.915200000000002</v>
      </c>
      <c r="V84" s="7">
        <f>Ref_Assumptions!$C$5</f>
        <v>0.3</v>
      </c>
      <c r="W84" s="2">
        <v>0</v>
      </c>
      <c r="X84" s="2">
        <v>0</v>
      </c>
      <c r="Y84" s="2" t="s">
        <v>225</v>
      </c>
      <c r="Z84" s="2">
        <v>22</v>
      </c>
    </row>
    <row r="85" spans="1:26" ht="23.25" x14ac:dyDescent="0.45">
      <c r="A85" s="2" t="s">
        <v>224</v>
      </c>
      <c r="B85" s="2" t="s">
        <v>175</v>
      </c>
      <c r="C85" s="2" t="s">
        <v>161</v>
      </c>
      <c r="D85" s="2">
        <v>394.18</v>
      </c>
      <c r="E85" s="2">
        <v>0.6</v>
      </c>
      <c r="F85" s="6">
        <f t="shared" si="4"/>
        <v>236.50799999999998</v>
      </c>
      <c r="G85" s="2" t="s">
        <v>235</v>
      </c>
      <c r="H85" s="2">
        <v>6</v>
      </c>
      <c r="I85" s="2" t="s">
        <v>236</v>
      </c>
      <c r="J85" s="2">
        <v>10</v>
      </c>
      <c r="K85" s="2" t="s">
        <v>237</v>
      </c>
      <c r="L85" s="7">
        <f>IF(R85="Yes",Ref_Assumptions!$C$8,"–")</f>
        <v>20</v>
      </c>
      <c r="M85" s="7">
        <f>IF(R85="Yes",Ref_Assumptions!$C$9,"–")</f>
        <v>15</v>
      </c>
      <c r="N85" s="7">
        <f>IF(R85="Yes",Ref_Assumptions!$C$10,"–")</f>
        <v>26</v>
      </c>
      <c r="O85" s="2">
        <v>70</v>
      </c>
      <c r="P85" s="2">
        <v>40</v>
      </c>
      <c r="Q85" s="2" t="s">
        <v>134</v>
      </c>
      <c r="R85" s="2" t="s">
        <v>135</v>
      </c>
      <c r="S85" s="7">
        <f>IF(R85="Yes",Ref_Assumptions!$C$2,Ref_Assumptions!$C$4)</f>
        <v>10</v>
      </c>
      <c r="T85" s="7">
        <f>IF(R85="Yes",Ref_Assumptions!$C$3,Ref_Assumptions!$C$4)</f>
        <v>0.6</v>
      </c>
      <c r="U85" s="4">
        <f t="shared" si="5"/>
        <v>9365.7168000000001</v>
      </c>
      <c r="V85" s="7">
        <f>Ref_Assumptions!$C$5</f>
        <v>0.3</v>
      </c>
      <c r="W85" s="2">
        <v>7</v>
      </c>
      <c r="X85" s="2">
        <v>2.9710800000000002</v>
      </c>
      <c r="Y85" s="2" t="s">
        <v>225</v>
      </c>
      <c r="Z85" s="2">
        <v>22</v>
      </c>
    </row>
    <row r="86" spans="1:26" ht="23.25" x14ac:dyDescent="0.45">
      <c r="A86" s="2" t="s">
        <v>224</v>
      </c>
      <c r="B86" s="2" t="s">
        <v>176</v>
      </c>
      <c r="C86" s="2" t="s">
        <v>161</v>
      </c>
      <c r="D86" s="2">
        <v>539.86</v>
      </c>
      <c r="E86" s="2">
        <v>0.6</v>
      </c>
      <c r="F86" s="6">
        <f t="shared" si="4"/>
        <v>323.916</v>
      </c>
      <c r="G86" s="2" t="s">
        <v>226</v>
      </c>
      <c r="H86" s="2">
        <v>6</v>
      </c>
      <c r="I86" s="2" t="s">
        <v>238</v>
      </c>
      <c r="J86" s="2">
        <v>10</v>
      </c>
      <c r="K86" s="2" t="s">
        <v>239</v>
      </c>
      <c r="L86" s="7">
        <f>IF(R86="Yes",Ref_Assumptions!$C$8,"–")</f>
        <v>20</v>
      </c>
      <c r="M86" s="7">
        <f>IF(R86="Yes",Ref_Assumptions!$C$9,"–")</f>
        <v>15</v>
      </c>
      <c r="N86" s="7">
        <f>IF(R86="Yes",Ref_Assumptions!$C$10,"–")</f>
        <v>26</v>
      </c>
      <c r="O86" s="2">
        <v>70</v>
      </c>
      <c r="P86" s="2">
        <v>40</v>
      </c>
      <c r="Q86" s="2" t="s">
        <v>134</v>
      </c>
      <c r="R86" s="2" t="s">
        <v>135</v>
      </c>
      <c r="S86" s="7">
        <f>IF(R86="Yes",Ref_Assumptions!$C$2,Ref_Assumptions!$C$4)</f>
        <v>10</v>
      </c>
      <c r="T86" s="7">
        <f>IF(R86="Yes",Ref_Assumptions!$C$3,Ref_Assumptions!$C$4)</f>
        <v>0.6</v>
      </c>
      <c r="U86" s="4">
        <f t="shared" si="5"/>
        <v>12827.0736</v>
      </c>
      <c r="V86" s="7">
        <f>Ref_Assumptions!$C$5</f>
        <v>0.3</v>
      </c>
      <c r="W86" s="2">
        <v>7</v>
      </c>
      <c r="X86" s="2">
        <v>1.5647500000000001</v>
      </c>
      <c r="Y86" s="2" t="s">
        <v>225</v>
      </c>
      <c r="Z86" s="2">
        <v>22</v>
      </c>
    </row>
  </sheetData>
  <autoFilter ref="A1:Z86" xr:uid="{00000000-0009-0000-0000-000002000000}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30" customWidth="1"/>
    <col min="3" max="3" width="7" customWidth="1"/>
    <col min="4" max="4" width="40" customWidth="1"/>
    <col min="5" max="7" width="10" customWidth="1"/>
    <col min="8" max="8" width="24" customWidth="1"/>
    <col min="9" max="9" width="8" customWidth="1"/>
    <col min="10" max="10" width="24" customWidth="1"/>
    <col min="11" max="11" width="8" customWidth="1"/>
    <col min="12" max="12" width="24" customWidth="1"/>
    <col min="13" max="13" width="12" customWidth="1"/>
    <col min="14" max="14" width="9" customWidth="1"/>
    <col min="15" max="15" width="10" customWidth="1"/>
    <col min="16" max="18" width="9" customWidth="1"/>
    <col min="19" max="19" width="10" customWidth="1"/>
    <col min="20" max="20" width="9" customWidth="1"/>
  </cols>
  <sheetData>
    <row r="1" spans="1:20" ht="52.5" x14ac:dyDescent="0.45">
      <c r="A1" s="1" t="s">
        <v>96</v>
      </c>
      <c r="B1" s="1" t="s">
        <v>240</v>
      </c>
      <c r="C1" s="1" t="s">
        <v>241</v>
      </c>
      <c r="D1" s="1" t="s">
        <v>242</v>
      </c>
      <c r="E1" s="1" t="s">
        <v>99</v>
      </c>
      <c r="F1" s="1" t="s">
        <v>243</v>
      </c>
      <c r="G1" s="1" t="s">
        <v>100</v>
      </c>
      <c r="H1" s="1" t="s">
        <v>102</v>
      </c>
      <c r="I1" s="1" t="s">
        <v>244</v>
      </c>
      <c r="J1" s="1" t="s">
        <v>104</v>
      </c>
      <c r="K1" s="1" t="s">
        <v>245</v>
      </c>
      <c r="L1" s="1" t="s">
        <v>106</v>
      </c>
      <c r="M1" s="1" t="s">
        <v>246</v>
      </c>
      <c r="N1" s="1" t="s">
        <v>247</v>
      </c>
      <c r="O1" s="1" t="s">
        <v>248</v>
      </c>
      <c r="P1" s="1" t="s">
        <v>249</v>
      </c>
      <c r="Q1" s="1" t="s">
        <v>250</v>
      </c>
      <c r="R1" s="1" t="s">
        <v>251</v>
      </c>
      <c r="S1" s="1" t="s">
        <v>252</v>
      </c>
      <c r="T1" s="1" t="s">
        <v>253</v>
      </c>
    </row>
    <row r="2" spans="1:20" ht="23.25" x14ac:dyDescent="0.45">
      <c r="A2" s="2" t="s">
        <v>122</v>
      </c>
      <c r="B2" s="2" t="s">
        <v>124</v>
      </c>
      <c r="C2" s="2">
        <v>4</v>
      </c>
      <c r="D2" s="2" t="s">
        <v>254</v>
      </c>
      <c r="E2" s="8">
        <f>SUMPRODUCT(ISNUMBER(SEARCH(", "&amp;T7_Zones!$B$2:$B$86&amp;",",", "&amp;D2&amp;","))*(T7_Zones!$A$2:$A$86=A2)*T7_Zones!$D$2:$D$86)</f>
        <v>271.05</v>
      </c>
      <c r="F2" s="9">
        <f>SUMPRODUCT(ISNUMBER(SEARCH(", "&amp;T7_Zones!$B$2:$B$86&amp;",",", "&amp;D2&amp;","))*(T7_Zones!$A$2:$A$86=A2)*T7_Zones!$F$2:$F$86)</f>
        <v>0</v>
      </c>
      <c r="G2" s="2">
        <v>0</v>
      </c>
      <c r="H2" s="2" t="s">
        <v>125</v>
      </c>
      <c r="I2" s="2">
        <v>6</v>
      </c>
      <c r="J2" s="2" t="s">
        <v>126</v>
      </c>
      <c r="K2" s="2">
        <v>2</v>
      </c>
      <c r="L2" s="2" t="s">
        <v>127</v>
      </c>
      <c r="M2" s="7" t="str">
        <f>IF(P2="Yes",Ref_Assumptions!$C$8&amp;" / "&amp;Ref_Assumptions!$C$9,"–")</f>
        <v>–</v>
      </c>
      <c r="N2" s="7" t="str">
        <f>IF(P2="Yes",Ref_Assumptions!$C$10,"–")</f>
        <v>–</v>
      </c>
      <c r="O2" s="2" t="s">
        <v>255</v>
      </c>
      <c r="P2" s="2" t="s">
        <v>129</v>
      </c>
      <c r="Q2" s="7">
        <f>IF(P2="Yes",Ref_Assumptions!$C$2,Ref_Assumptions!$C$4)</f>
        <v>0</v>
      </c>
      <c r="R2" s="7">
        <f>IF(P2="Yes",Ref_Assumptions!$C$3,Ref_Assumptions!$C$4)</f>
        <v>0</v>
      </c>
      <c r="S2" s="4">
        <f>SUMPRODUCT(ISNUMBER(SEARCH(", "&amp;T7_Zones!$B$2:$B$86&amp;",",", "&amp;D2&amp;","))*(T7_Zones!$A$2:$A$86=A2)*T7_Zones!$U$2:$U$86)</f>
        <v>0</v>
      </c>
      <c r="T2" s="7">
        <f>Ref_Assumptions!$C$5</f>
        <v>0.3</v>
      </c>
    </row>
    <row r="3" spans="1:20" ht="34.9" x14ac:dyDescent="0.45">
      <c r="A3" s="2" t="s">
        <v>122</v>
      </c>
      <c r="B3" s="2" t="s">
        <v>133</v>
      </c>
      <c r="C3" s="2">
        <v>7</v>
      </c>
      <c r="D3" s="2" t="s">
        <v>256</v>
      </c>
      <c r="E3" s="8">
        <f>SUMPRODUCT(ISNUMBER(SEARCH(", "&amp;T7_Zones!$B$2:$B$86&amp;",",", "&amp;D3&amp;","))*(T7_Zones!$A$2:$A$86=A3)*T7_Zones!$D$2:$D$86)</f>
        <v>399.84</v>
      </c>
      <c r="F3" s="9">
        <f>SUMPRODUCT(ISNUMBER(SEARCH(", "&amp;T7_Zones!$B$2:$B$86&amp;",",", "&amp;D3&amp;","))*(T7_Zones!$A$2:$A$86=A3)*T7_Zones!$F$2:$F$86)</f>
        <v>119.952</v>
      </c>
      <c r="G3" s="2">
        <v>0.3</v>
      </c>
      <c r="H3" s="2" t="s">
        <v>125</v>
      </c>
      <c r="I3" s="2">
        <v>6</v>
      </c>
      <c r="J3" s="2" t="s">
        <v>126</v>
      </c>
      <c r="K3" s="2">
        <v>2</v>
      </c>
      <c r="L3" s="2" t="s">
        <v>127</v>
      </c>
      <c r="M3" s="7" t="str">
        <f>IF(P3="Yes",Ref_Assumptions!$C$8&amp;" / "&amp;Ref_Assumptions!$C$9,"–")</f>
        <v>20 / 15</v>
      </c>
      <c r="N3" s="7">
        <f>IF(P3="Yes",Ref_Assumptions!$C$10,"–")</f>
        <v>26</v>
      </c>
      <c r="O3" s="2" t="s">
        <v>255</v>
      </c>
      <c r="P3" s="2" t="s">
        <v>135</v>
      </c>
      <c r="Q3" s="7">
        <f>IF(P3="Yes",Ref_Assumptions!$C$2,Ref_Assumptions!$C$4)</f>
        <v>10</v>
      </c>
      <c r="R3" s="7">
        <f>IF(P3="Yes",Ref_Assumptions!$C$3,Ref_Assumptions!$C$4)</f>
        <v>0.6</v>
      </c>
      <c r="S3" s="4">
        <f>SUMPRODUCT(ISNUMBER(SEARCH(", "&amp;T7_Zones!$B$2:$B$86&amp;",",", "&amp;D3&amp;","))*(T7_Zones!$A$2:$A$86=A3)*T7_Zones!$U$2:$U$86)</f>
        <v>5181.9264000000003</v>
      </c>
      <c r="T3" s="7">
        <f>Ref_Assumptions!$C$5</f>
        <v>0.3</v>
      </c>
    </row>
    <row r="4" spans="1:20" ht="23.25" x14ac:dyDescent="0.45">
      <c r="A4" s="2" t="s">
        <v>122</v>
      </c>
      <c r="B4" s="2" t="s">
        <v>137</v>
      </c>
      <c r="C4" s="2">
        <v>1</v>
      </c>
      <c r="D4" s="2" t="s">
        <v>136</v>
      </c>
      <c r="E4" s="8">
        <f>SUMPRODUCT(ISNUMBER(SEARCH(", "&amp;T7_Zones!$B$2:$B$86&amp;",",", "&amp;D4&amp;","))*(T7_Zones!$A$2:$A$86=A4)*T7_Zones!$D$2:$D$86)</f>
        <v>6.46</v>
      </c>
      <c r="F4" s="9">
        <f>SUMPRODUCT(ISNUMBER(SEARCH(", "&amp;T7_Zones!$B$2:$B$86&amp;",",", "&amp;D4&amp;","))*(T7_Zones!$A$2:$A$86=A4)*T7_Zones!$F$2:$F$86)</f>
        <v>0</v>
      </c>
      <c r="G4" s="2">
        <v>0</v>
      </c>
      <c r="H4" s="2" t="s">
        <v>125</v>
      </c>
      <c r="I4" s="2">
        <v>6</v>
      </c>
      <c r="J4" s="2" t="s">
        <v>126</v>
      </c>
      <c r="K4" s="2">
        <v>2</v>
      </c>
      <c r="L4" s="2" t="s">
        <v>127</v>
      </c>
      <c r="M4" s="7" t="str">
        <f>IF(P4="Yes",Ref_Assumptions!$C$8&amp;" / "&amp;Ref_Assumptions!$C$9,"–")</f>
        <v>20 / 15</v>
      </c>
      <c r="N4" s="7">
        <f>IF(P4="Yes",Ref_Assumptions!$C$10,"–")</f>
        <v>26</v>
      </c>
      <c r="O4" s="2" t="s">
        <v>255</v>
      </c>
      <c r="P4" s="2" t="s">
        <v>135</v>
      </c>
      <c r="Q4" s="7">
        <f>IF(P4="Yes",Ref_Assumptions!$C$2,Ref_Assumptions!$C$4)</f>
        <v>10</v>
      </c>
      <c r="R4" s="7">
        <f>IF(P4="Yes",Ref_Assumptions!$C$3,Ref_Assumptions!$C$4)</f>
        <v>0.6</v>
      </c>
      <c r="S4" s="4">
        <f>SUMPRODUCT(ISNUMBER(SEARCH(", "&amp;T7_Zones!$B$2:$B$86&amp;",",", "&amp;D4&amp;","))*(T7_Zones!$A$2:$A$86=A4)*T7_Zones!$U$2:$U$86)</f>
        <v>13.9536</v>
      </c>
      <c r="T4" s="7">
        <f>Ref_Assumptions!$C$5</f>
        <v>0.3</v>
      </c>
    </row>
    <row r="5" spans="1:20" ht="23.25" x14ac:dyDescent="0.45">
      <c r="A5" s="2" t="s">
        <v>122</v>
      </c>
      <c r="B5" s="2" t="s">
        <v>147</v>
      </c>
      <c r="C5" s="2">
        <v>1</v>
      </c>
      <c r="D5" s="2" t="s">
        <v>146</v>
      </c>
      <c r="E5" s="8">
        <f>SUMPRODUCT(ISNUMBER(SEARCH(", "&amp;T7_Zones!$B$2:$B$86&amp;",",", "&amp;D5&amp;","))*(T7_Zones!$A$2:$A$86=A5)*T7_Zones!$D$2:$D$86)</f>
        <v>1381.74</v>
      </c>
      <c r="F5" s="9">
        <f>SUMPRODUCT(ISNUMBER(SEARCH(", "&amp;T7_Zones!$B$2:$B$86&amp;",",", "&amp;D5&amp;","))*(T7_Zones!$A$2:$A$86=A5)*T7_Zones!$F$2:$F$86)</f>
        <v>0</v>
      </c>
      <c r="G5" s="2">
        <v>0</v>
      </c>
      <c r="H5" s="2" t="s">
        <v>125</v>
      </c>
      <c r="I5" s="2">
        <v>0</v>
      </c>
      <c r="J5" s="2" t="s">
        <v>148</v>
      </c>
      <c r="K5" s="2">
        <v>0</v>
      </c>
      <c r="L5" s="2" t="s">
        <v>149</v>
      </c>
      <c r="M5" s="7" t="str">
        <f>IF(P5="Yes",Ref_Assumptions!$C$8&amp;" / "&amp;Ref_Assumptions!$C$9,"–")</f>
        <v>–</v>
      </c>
      <c r="N5" s="7" t="str">
        <f>IF(P5="Yes",Ref_Assumptions!$C$10,"–")</f>
        <v>–</v>
      </c>
      <c r="O5" s="2" t="s">
        <v>257</v>
      </c>
      <c r="P5" s="2" t="s">
        <v>129</v>
      </c>
      <c r="Q5" s="7">
        <f>IF(P5="Yes",Ref_Assumptions!$C$2,Ref_Assumptions!$C$4)</f>
        <v>0</v>
      </c>
      <c r="R5" s="7">
        <f>IF(P5="Yes",Ref_Assumptions!$C$3,Ref_Assumptions!$C$4)</f>
        <v>0</v>
      </c>
      <c r="S5" s="4">
        <f>SUMPRODUCT(ISNUMBER(SEARCH(", "&amp;T7_Zones!$B$2:$B$86&amp;",",", "&amp;D5&amp;","))*(T7_Zones!$A$2:$A$86=A5)*T7_Zones!$U$2:$U$86)</f>
        <v>0</v>
      </c>
      <c r="T5" s="7">
        <f>Ref_Assumptions!$C$5</f>
        <v>0.3</v>
      </c>
    </row>
    <row r="6" spans="1:20" ht="23.25" x14ac:dyDescent="0.45">
      <c r="A6" s="2" t="s">
        <v>122</v>
      </c>
      <c r="B6" s="2" t="s">
        <v>147</v>
      </c>
      <c r="C6" s="2">
        <v>1</v>
      </c>
      <c r="D6" s="2" t="s">
        <v>150</v>
      </c>
      <c r="E6" s="8">
        <f>SUMPRODUCT(ISNUMBER(SEARCH(", "&amp;T7_Zones!$B$2:$B$86&amp;",",", "&amp;D6&amp;","))*(T7_Zones!$A$2:$A$86=A6)*T7_Zones!$D$2:$D$86)</f>
        <v>33.159999999999997</v>
      </c>
      <c r="F6" s="9">
        <f>SUMPRODUCT(ISNUMBER(SEARCH(", "&amp;T7_Zones!$B$2:$B$86&amp;",",", "&amp;D6&amp;","))*(T7_Zones!$A$2:$A$86=A6)*T7_Zones!$F$2:$F$86)</f>
        <v>0</v>
      </c>
      <c r="G6" s="2">
        <v>0</v>
      </c>
      <c r="H6" s="2" t="s">
        <v>125</v>
      </c>
      <c r="I6" s="2">
        <v>6</v>
      </c>
      <c r="J6" s="2" t="s">
        <v>126</v>
      </c>
      <c r="K6" s="2">
        <v>2</v>
      </c>
      <c r="L6" s="2" t="s">
        <v>127</v>
      </c>
      <c r="M6" s="7" t="str">
        <f>IF(P6="Yes",Ref_Assumptions!$C$8&amp;" / "&amp;Ref_Assumptions!$C$9,"–")</f>
        <v>–</v>
      </c>
      <c r="N6" s="7" t="str">
        <f>IF(P6="Yes",Ref_Assumptions!$C$10,"–")</f>
        <v>–</v>
      </c>
      <c r="O6" s="2" t="s">
        <v>255</v>
      </c>
      <c r="P6" s="2" t="s">
        <v>129</v>
      </c>
      <c r="Q6" s="7">
        <f>IF(P6="Yes",Ref_Assumptions!$C$2,Ref_Assumptions!$C$4)</f>
        <v>0</v>
      </c>
      <c r="R6" s="7">
        <f>IF(P6="Yes",Ref_Assumptions!$C$3,Ref_Assumptions!$C$4)</f>
        <v>0</v>
      </c>
      <c r="S6" s="4">
        <f>SUMPRODUCT(ISNUMBER(SEARCH(", "&amp;T7_Zones!$B$2:$B$86&amp;",",", "&amp;D6&amp;","))*(T7_Zones!$A$2:$A$86=A6)*T7_Zones!$U$2:$U$86)</f>
        <v>0</v>
      </c>
      <c r="T6" s="7">
        <f>Ref_Assumptions!$C$5</f>
        <v>0.3</v>
      </c>
    </row>
    <row r="7" spans="1:20" x14ac:dyDescent="0.45">
      <c r="A7" s="2" t="s">
        <v>122</v>
      </c>
      <c r="B7" s="2" t="s">
        <v>152</v>
      </c>
      <c r="C7" s="2">
        <v>5</v>
      </c>
      <c r="D7" s="2" t="s">
        <v>258</v>
      </c>
      <c r="E7" s="8">
        <f>SUMPRODUCT(ISNUMBER(SEARCH(", "&amp;T7_Zones!$B$2:$B$86&amp;",",", "&amp;D7&amp;","))*(T7_Zones!$A$2:$A$86=A7)*T7_Zones!$D$2:$D$86)</f>
        <v>238.68</v>
      </c>
      <c r="F7" s="9">
        <f>SUMPRODUCT(ISNUMBER(SEARCH(", "&amp;T7_Zones!$B$2:$B$86&amp;",",", "&amp;D7&amp;","))*(T7_Zones!$A$2:$A$86=A7)*T7_Zones!$F$2:$F$86)</f>
        <v>0</v>
      </c>
      <c r="G7" s="2">
        <v>0</v>
      </c>
      <c r="H7" s="2" t="s">
        <v>125</v>
      </c>
      <c r="I7" s="2">
        <v>6</v>
      </c>
      <c r="J7" s="2" t="s">
        <v>126</v>
      </c>
      <c r="K7" s="2">
        <v>2</v>
      </c>
      <c r="L7" s="2" t="s">
        <v>127</v>
      </c>
      <c r="M7" s="7" t="str">
        <f>IF(P7="Yes",Ref_Assumptions!$C$8&amp;" / "&amp;Ref_Assumptions!$C$9,"–")</f>
        <v>20 / 15</v>
      </c>
      <c r="N7" s="7">
        <f>IF(P7="Yes",Ref_Assumptions!$C$10,"–")</f>
        <v>26</v>
      </c>
      <c r="O7" s="2" t="s">
        <v>255</v>
      </c>
      <c r="P7" s="2" t="s">
        <v>135</v>
      </c>
      <c r="Q7" s="7">
        <f>IF(P7="Yes",Ref_Assumptions!$C$2,Ref_Assumptions!$C$4)</f>
        <v>10</v>
      </c>
      <c r="R7" s="7">
        <f>IF(P7="Yes",Ref_Assumptions!$C$3,Ref_Assumptions!$C$4)</f>
        <v>0.6</v>
      </c>
      <c r="S7" s="4">
        <f>SUMPRODUCT(ISNUMBER(SEARCH(", "&amp;T7_Zones!$B$2:$B$86&amp;",",", "&amp;D7&amp;","))*(T7_Zones!$A$2:$A$86=A7)*T7_Zones!$U$2:$U$86)</f>
        <v>515.54879999999991</v>
      </c>
      <c r="T7" s="7">
        <f>Ref_Assumptions!$C$5</f>
        <v>0.3</v>
      </c>
    </row>
    <row r="8" spans="1:20" ht="23.25" x14ac:dyDescent="0.45">
      <c r="A8" s="2" t="s">
        <v>122</v>
      </c>
      <c r="B8" s="2" t="s">
        <v>147</v>
      </c>
      <c r="C8" s="2">
        <v>6</v>
      </c>
      <c r="D8" s="2" t="s">
        <v>259</v>
      </c>
      <c r="E8" s="8">
        <f>SUMPRODUCT(ISNUMBER(SEARCH(", "&amp;T7_Zones!$B$2:$B$86&amp;",",", "&amp;D8&amp;","))*(T7_Zones!$A$2:$A$86=A8)*T7_Zones!$D$2:$D$86)</f>
        <v>2457.6600000000003</v>
      </c>
      <c r="F8" s="9">
        <f>SUMPRODUCT(ISNUMBER(SEARCH(", "&amp;T7_Zones!$B$2:$B$86&amp;",",", "&amp;D8&amp;","))*(T7_Zones!$A$2:$A$86=A8)*T7_Zones!$F$2:$F$86)</f>
        <v>0</v>
      </c>
      <c r="G8" s="2">
        <v>0</v>
      </c>
      <c r="H8" s="2" t="s">
        <v>125</v>
      </c>
      <c r="I8" s="2">
        <v>6</v>
      </c>
      <c r="J8" s="2" t="s">
        <v>154</v>
      </c>
      <c r="K8" s="2">
        <v>0</v>
      </c>
      <c r="L8" s="2" t="s">
        <v>154</v>
      </c>
      <c r="M8" s="7" t="str">
        <f>IF(P8="Yes",Ref_Assumptions!$C$8&amp;" / "&amp;Ref_Assumptions!$C$9,"–")</f>
        <v>–</v>
      </c>
      <c r="N8" s="7" t="str">
        <f>IF(P8="Yes",Ref_Assumptions!$C$10,"–")</f>
        <v>–</v>
      </c>
      <c r="O8" s="2" t="s">
        <v>255</v>
      </c>
      <c r="P8" s="2" t="s">
        <v>129</v>
      </c>
      <c r="Q8" s="7">
        <f>IF(P8="Yes",Ref_Assumptions!$C$2,Ref_Assumptions!$C$4)</f>
        <v>0</v>
      </c>
      <c r="R8" s="7">
        <f>IF(P8="Yes",Ref_Assumptions!$C$3,Ref_Assumptions!$C$4)</f>
        <v>0</v>
      </c>
      <c r="S8" s="4">
        <f>SUMPRODUCT(ISNUMBER(SEARCH(", "&amp;T7_Zones!$B$2:$B$86&amp;",",", "&amp;D8&amp;","))*(T7_Zones!$A$2:$A$86=A8)*T7_Zones!$U$2:$U$86)</f>
        <v>0</v>
      </c>
      <c r="T8" s="7">
        <f>Ref_Assumptions!$C$5</f>
        <v>0.3</v>
      </c>
    </row>
    <row r="9" spans="1:20" x14ac:dyDescent="0.45">
      <c r="A9" s="2" t="s">
        <v>122</v>
      </c>
      <c r="B9" s="2" t="s">
        <v>152</v>
      </c>
      <c r="C9" s="2">
        <v>1</v>
      </c>
      <c r="D9" s="2" t="s">
        <v>157</v>
      </c>
      <c r="E9" s="8">
        <f>SUMPRODUCT(ISNUMBER(SEARCH(", "&amp;T7_Zones!$B$2:$B$86&amp;",",", "&amp;D9&amp;","))*(T7_Zones!$A$2:$A$86=A9)*T7_Zones!$D$2:$D$86)</f>
        <v>0</v>
      </c>
      <c r="F9" s="9">
        <f>SUMPRODUCT(ISNUMBER(SEARCH(", "&amp;T7_Zones!$B$2:$B$86&amp;",",", "&amp;D9&amp;","))*(T7_Zones!$A$2:$A$86=A9)*T7_Zones!$F$2:$F$86)</f>
        <v>0</v>
      </c>
      <c r="G9" s="2">
        <v>0</v>
      </c>
      <c r="H9" s="2" t="s">
        <v>125</v>
      </c>
      <c r="I9" s="2">
        <v>6</v>
      </c>
      <c r="J9" s="2" t="s">
        <v>154</v>
      </c>
      <c r="K9" s="2">
        <v>0</v>
      </c>
      <c r="L9" s="2" t="s">
        <v>154</v>
      </c>
      <c r="M9" s="7" t="str">
        <f>IF(P9="Yes",Ref_Assumptions!$C$8&amp;" / "&amp;Ref_Assumptions!$C$9,"–")</f>
        <v>20 / 15</v>
      </c>
      <c r="N9" s="7">
        <f>IF(P9="Yes",Ref_Assumptions!$C$10,"–")</f>
        <v>26</v>
      </c>
      <c r="O9" s="2" t="s">
        <v>255</v>
      </c>
      <c r="P9" s="2" t="s">
        <v>135</v>
      </c>
      <c r="Q9" s="7">
        <f>IF(P9="Yes",Ref_Assumptions!$C$2,Ref_Assumptions!$C$4)</f>
        <v>10</v>
      </c>
      <c r="R9" s="7">
        <f>IF(P9="Yes",Ref_Assumptions!$C$3,Ref_Assumptions!$C$4)</f>
        <v>0.6</v>
      </c>
      <c r="S9" s="4">
        <f>SUMPRODUCT(ISNUMBER(SEARCH(", "&amp;T7_Zones!$B$2:$B$86&amp;",",", "&amp;D9&amp;","))*(T7_Zones!$A$2:$A$86=A9)*T7_Zones!$U$2:$U$86)</f>
        <v>0</v>
      </c>
      <c r="T9" s="7">
        <f>Ref_Assumptions!$C$5</f>
        <v>0.3</v>
      </c>
    </row>
    <row r="10" spans="1:20" ht="23.25" x14ac:dyDescent="0.45">
      <c r="A10" s="2" t="s">
        <v>122</v>
      </c>
      <c r="B10" s="2" t="s">
        <v>147</v>
      </c>
      <c r="C10" s="2">
        <v>1</v>
      </c>
      <c r="D10" s="2" t="s">
        <v>158</v>
      </c>
      <c r="E10" s="8">
        <f>SUMPRODUCT(ISNUMBER(SEARCH(", "&amp;T7_Zones!$B$2:$B$86&amp;",",", "&amp;D10&amp;","))*(T7_Zones!$A$2:$A$86=A10)*T7_Zones!$D$2:$D$86)</f>
        <v>504.16</v>
      </c>
      <c r="F10" s="9">
        <f>SUMPRODUCT(ISNUMBER(SEARCH(", "&amp;T7_Zones!$B$2:$B$86&amp;",",", "&amp;D10&amp;","))*(T7_Zones!$A$2:$A$86=A10)*T7_Zones!$F$2:$F$86)</f>
        <v>0</v>
      </c>
      <c r="G10" s="2">
        <v>0</v>
      </c>
      <c r="H10" s="2" t="s">
        <v>125</v>
      </c>
      <c r="I10" s="2">
        <v>6</v>
      </c>
      <c r="J10" s="2" t="s">
        <v>154</v>
      </c>
      <c r="K10" s="2">
        <v>2</v>
      </c>
      <c r="L10" s="2" t="s">
        <v>154</v>
      </c>
      <c r="M10" s="7" t="str">
        <f>IF(P10="Yes",Ref_Assumptions!$C$8&amp;" / "&amp;Ref_Assumptions!$C$9,"–")</f>
        <v>–</v>
      </c>
      <c r="N10" s="7" t="str">
        <f>IF(P10="Yes",Ref_Assumptions!$C$10,"–")</f>
        <v>–</v>
      </c>
      <c r="O10" s="2" t="s">
        <v>255</v>
      </c>
      <c r="P10" s="2" t="s">
        <v>129</v>
      </c>
      <c r="Q10" s="7">
        <f>IF(P10="Yes",Ref_Assumptions!$C$2,Ref_Assumptions!$C$4)</f>
        <v>0</v>
      </c>
      <c r="R10" s="7">
        <f>IF(P10="Yes",Ref_Assumptions!$C$3,Ref_Assumptions!$C$4)</f>
        <v>0</v>
      </c>
      <c r="S10" s="4">
        <f>SUMPRODUCT(ISNUMBER(SEARCH(", "&amp;T7_Zones!$B$2:$B$86&amp;",",", "&amp;D10&amp;","))*(T7_Zones!$A$2:$A$86=A10)*T7_Zones!$U$2:$U$86)</f>
        <v>0</v>
      </c>
      <c r="T10" s="7">
        <f>Ref_Assumptions!$C$5</f>
        <v>0.3</v>
      </c>
    </row>
    <row r="11" spans="1:20" x14ac:dyDescent="0.45">
      <c r="A11" s="2" t="s">
        <v>122</v>
      </c>
      <c r="B11" s="2" t="s">
        <v>152</v>
      </c>
      <c r="C11" s="2">
        <v>1</v>
      </c>
      <c r="D11" s="2" t="s">
        <v>159</v>
      </c>
      <c r="E11" s="8">
        <f>SUMPRODUCT(ISNUMBER(SEARCH(", "&amp;T7_Zones!$B$2:$B$86&amp;",",", "&amp;D11&amp;","))*(T7_Zones!$A$2:$A$86=A11)*T7_Zones!$D$2:$D$86)</f>
        <v>5.2</v>
      </c>
      <c r="F11" s="9">
        <f>SUMPRODUCT(ISNUMBER(SEARCH(", "&amp;T7_Zones!$B$2:$B$86&amp;",",", "&amp;D11&amp;","))*(T7_Zones!$A$2:$A$86=A11)*T7_Zones!$F$2:$F$86)</f>
        <v>0</v>
      </c>
      <c r="G11" s="2">
        <v>0</v>
      </c>
      <c r="H11" s="2" t="s">
        <v>125</v>
      </c>
      <c r="I11" s="2">
        <v>6</v>
      </c>
      <c r="J11" s="2" t="s">
        <v>154</v>
      </c>
      <c r="K11" s="2">
        <v>2</v>
      </c>
      <c r="L11" s="2" t="s">
        <v>154</v>
      </c>
      <c r="M11" s="7" t="str">
        <f>IF(P11="Yes",Ref_Assumptions!$C$8&amp;" / "&amp;Ref_Assumptions!$C$9,"–")</f>
        <v>20 / 15</v>
      </c>
      <c r="N11" s="7">
        <f>IF(P11="Yes",Ref_Assumptions!$C$10,"–")</f>
        <v>26</v>
      </c>
      <c r="O11" s="2" t="s">
        <v>255</v>
      </c>
      <c r="P11" s="2" t="s">
        <v>135</v>
      </c>
      <c r="Q11" s="7">
        <f>IF(P11="Yes",Ref_Assumptions!$C$2,Ref_Assumptions!$C$4)</f>
        <v>10</v>
      </c>
      <c r="R11" s="7">
        <f>IF(P11="Yes",Ref_Assumptions!$C$3,Ref_Assumptions!$C$4)</f>
        <v>0.6</v>
      </c>
      <c r="S11" s="4">
        <f>SUMPRODUCT(ISNUMBER(SEARCH(", "&amp;T7_Zones!$B$2:$B$86&amp;",",", "&amp;D11&amp;","))*(T7_Zones!$A$2:$A$86=A11)*T7_Zones!$U$2:$U$86)</f>
        <v>11.232000000000001</v>
      </c>
      <c r="T11" s="7">
        <f>Ref_Assumptions!$C$5</f>
        <v>0.3</v>
      </c>
    </row>
    <row r="12" spans="1:20" x14ac:dyDescent="0.45">
      <c r="A12" s="2" t="s">
        <v>122</v>
      </c>
      <c r="B12" s="2" t="s">
        <v>161</v>
      </c>
      <c r="C12" s="2">
        <v>2</v>
      </c>
      <c r="D12" s="2" t="s">
        <v>260</v>
      </c>
      <c r="E12" s="8">
        <f>SUMPRODUCT(ISNUMBER(SEARCH(", "&amp;T7_Zones!$B$2:$B$86&amp;",",", "&amp;D12&amp;","))*(T7_Zones!$A$2:$A$86=A12)*T7_Zones!$D$2:$D$86)</f>
        <v>112.43</v>
      </c>
      <c r="F12" s="9">
        <f>SUMPRODUCT(ISNUMBER(SEARCH(", "&amp;T7_Zones!$B$2:$B$86&amp;",",", "&amp;D12&amp;","))*(T7_Zones!$A$2:$A$86=A12)*T7_Zones!$F$2:$F$86)</f>
        <v>67.457999999999998</v>
      </c>
      <c r="G12" s="2">
        <v>0.6</v>
      </c>
      <c r="H12" s="2" t="s">
        <v>125</v>
      </c>
      <c r="I12" s="2">
        <v>6</v>
      </c>
      <c r="J12" s="2" t="s">
        <v>126</v>
      </c>
      <c r="K12" s="2">
        <v>2</v>
      </c>
      <c r="L12" s="2" t="s">
        <v>127</v>
      </c>
      <c r="M12" s="7" t="str">
        <f>IF(P12="Yes",Ref_Assumptions!$C$8&amp;" / "&amp;Ref_Assumptions!$C$9,"–")</f>
        <v>20 / 15</v>
      </c>
      <c r="N12" s="7">
        <f>IF(P12="Yes",Ref_Assumptions!$C$10,"–")</f>
        <v>26</v>
      </c>
      <c r="O12" s="2" t="s">
        <v>255</v>
      </c>
      <c r="P12" s="2" t="s">
        <v>135</v>
      </c>
      <c r="Q12" s="7">
        <f>IF(P12="Yes",Ref_Assumptions!$C$2,Ref_Assumptions!$C$4)</f>
        <v>10</v>
      </c>
      <c r="R12" s="7">
        <f>IF(P12="Yes",Ref_Assumptions!$C$3,Ref_Assumptions!$C$4)</f>
        <v>0.6</v>
      </c>
      <c r="S12" s="4">
        <f>SUMPRODUCT(ISNUMBER(SEARCH(", "&amp;T7_Zones!$B$2:$B$86&amp;",",", "&amp;D12&amp;","))*(T7_Zones!$A$2:$A$86=A12)*T7_Zones!$U$2:$U$86)</f>
        <v>2671.3368</v>
      </c>
      <c r="T12" s="7">
        <f>Ref_Assumptions!$C$5</f>
        <v>0.3</v>
      </c>
    </row>
    <row r="13" spans="1:20" x14ac:dyDescent="0.45">
      <c r="A13" s="2" t="s">
        <v>122</v>
      </c>
      <c r="B13" s="2" t="s">
        <v>164</v>
      </c>
      <c r="C13" s="2">
        <v>1</v>
      </c>
      <c r="D13" s="2" t="s">
        <v>163</v>
      </c>
      <c r="E13" s="8">
        <f>SUMPRODUCT(ISNUMBER(SEARCH(", "&amp;T7_Zones!$B$2:$B$86&amp;",",", "&amp;D13&amp;","))*(T7_Zones!$A$2:$A$86=A13)*T7_Zones!$D$2:$D$86)</f>
        <v>58.92</v>
      </c>
      <c r="F13" s="9">
        <f>SUMPRODUCT(ISNUMBER(SEARCH(", "&amp;T7_Zones!$B$2:$B$86&amp;",",", "&amp;D13&amp;","))*(T7_Zones!$A$2:$A$86=A13)*T7_Zones!$F$2:$F$86)</f>
        <v>7.0704000000000002</v>
      </c>
      <c r="G13" s="2">
        <v>0.12</v>
      </c>
      <c r="H13" s="2" t="s">
        <v>125</v>
      </c>
      <c r="I13" s="2">
        <v>7</v>
      </c>
      <c r="J13" s="2" t="s">
        <v>126</v>
      </c>
      <c r="K13" s="2">
        <v>2</v>
      </c>
      <c r="L13" s="2" t="s">
        <v>127</v>
      </c>
      <c r="M13" s="7" t="str">
        <f>IF(P13="Yes",Ref_Assumptions!$C$8&amp;" / "&amp;Ref_Assumptions!$C$9,"–")</f>
        <v>20 / 15</v>
      </c>
      <c r="N13" s="7">
        <f>IF(P13="Yes",Ref_Assumptions!$C$10,"–")</f>
        <v>26</v>
      </c>
      <c r="O13" s="2" t="s">
        <v>255</v>
      </c>
      <c r="P13" s="2" t="s">
        <v>135</v>
      </c>
      <c r="Q13" s="7">
        <f>IF(P13="Yes",Ref_Assumptions!$C$2,Ref_Assumptions!$C$4)</f>
        <v>10</v>
      </c>
      <c r="R13" s="7">
        <f>IF(P13="Yes",Ref_Assumptions!$C$3,Ref_Assumptions!$C$4)</f>
        <v>0.6</v>
      </c>
      <c r="S13" s="4">
        <f>SUMPRODUCT(ISNUMBER(SEARCH(", "&amp;T7_Zones!$B$2:$B$86&amp;",",", "&amp;D13&amp;","))*(T7_Zones!$A$2:$A$86=A13)*T7_Zones!$U$2:$U$86)</f>
        <v>381.80160000000006</v>
      </c>
      <c r="T13" s="7">
        <f>Ref_Assumptions!$C$5</f>
        <v>0.3</v>
      </c>
    </row>
    <row r="14" spans="1:20" ht="34.9" x14ac:dyDescent="0.45">
      <c r="A14" s="2" t="s">
        <v>122</v>
      </c>
      <c r="B14" s="2" t="s">
        <v>161</v>
      </c>
      <c r="C14" s="2">
        <v>18</v>
      </c>
      <c r="D14" s="2" t="s">
        <v>261</v>
      </c>
      <c r="E14" s="8">
        <f>SUMPRODUCT(ISNUMBER(SEARCH(", "&amp;T7_Zones!$B$2:$B$86&amp;",",", "&amp;D14&amp;","))*(T7_Zones!$A$2:$A$86=A14)*T7_Zones!$D$2:$D$86)</f>
        <v>2957.2999999999997</v>
      </c>
      <c r="F14" s="9">
        <f>SUMPRODUCT(ISNUMBER(SEARCH(", "&amp;T7_Zones!$B$2:$B$86&amp;",",", "&amp;D14&amp;","))*(T7_Zones!$A$2:$A$86=A14)*T7_Zones!$F$2:$F$86)</f>
        <v>1774.3799999999997</v>
      </c>
      <c r="G14" s="2">
        <v>0.6</v>
      </c>
      <c r="H14" s="2" t="s">
        <v>262</v>
      </c>
      <c r="I14" s="2">
        <v>6</v>
      </c>
      <c r="J14" s="2" t="s">
        <v>126</v>
      </c>
      <c r="K14" s="2">
        <v>2</v>
      </c>
      <c r="L14" s="2" t="s">
        <v>127</v>
      </c>
      <c r="M14" s="7" t="str">
        <f>IF(P14="Yes",Ref_Assumptions!$C$8&amp;" / "&amp;Ref_Assumptions!$C$9,"–")</f>
        <v>20 / 15</v>
      </c>
      <c r="N14" s="7">
        <f>IF(P14="Yes",Ref_Assumptions!$C$10,"–")</f>
        <v>26</v>
      </c>
      <c r="O14" s="2" t="s">
        <v>255</v>
      </c>
      <c r="P14" s="2" t="s">
        <v>135</v>
      </c>
      <c r="Q14" s="7">
        <f>IF(P14="Yes",Ref_Assumptions!$C$2,Ref_Assumptions!$C$4)</f>
        <v>10</v>
      </c>
      <c r="R14" s="7">
        <f>IF(P14="Yes",Ref_Assumptions!$C$3,Ref_Assumptions!$C$4)</f>
        <v>0.6</v>
      </c>
      <c r="S14" s="4">
        <f>SUMPRODUCT(ISNUMBER(SEARCH(", "&amp;T7_Zones!$B$2:$B$86&amp;",",", "&amp;D14&amp;","))*(T7_Zones!$A$2:$A$86=A14)*T7_Zones!$U$2:$U$86)</f>
        <v>70265.448000000004</v>
      </c>
      <c r="T14" s="7">
        <f>Ref_Assumptions!$C$5</f>
        <v>0.3</v>
      </c>
    </row>
    <row r="15" spans="1:20" ht="34.9" x14ac:dyDescent="0.45">
      <c r="A15" s="2" t="s">
        <v>122</v>
      </c>
      <c r="B15" s="2" t="s">
        <v>173</v>
      </c>
      <c r="C15" s="2">
        <v>16</v>
      </c>
      <c r="D15" s="2" t="s">
        <v>263</v>
      </c>
      <c r="E15" s="8">
        <f>SUMPRODUCT(ISNUMBER(SEARCH(", "&amp;T7_Zones!$B$2:$B$86&amp;",",", "&amp;D15&amp;","))*(T7_Zones!$A$2:$A$86=A15)*T7_Zones!$D$2:$D$86)</f>
        <v>1189.24</v>
      </c>
      <c r="F15" s="9">
        <f>SUMPRODUCT(ISNUMBER(SEARCH(", "&amp;T7_Zones!$B$2:$B$86&amp;",",", "&amp;D15&amp;","))*(T7_Zones!$A$2:$A$86=A15)*T7_Zones!$F$2:$F$86)</f>
        <v>356.77199999999993</v>
      </c>
      <c r="G15" s="2">
        <v>0.3</v>
      </c>
      <c r="H15" s="2" t="s">
        <v>125</v>
      </c>
      <c r="I15" s="2">
        <v>6</v>
      </c>
      <c r="J15" s="2" t="s">
        <v>126</v>
      </c>
      <c r="K15" s="2">
        <v>2</v>
      </c>
      <c r="L15" s="2" t="s">
        <v>127</v>
      </c>
      <c r="M15" s="7" t="str">
        <f>IF(P15="Yes",Ref_Assumptions!$C$8&amp;" / "&amp;Ref_Assumptions!$C$9,"–")</f>
        <v>20 / 15</v>
      </c>
      <c r="N15" s="7">
        <f>IF(P15="Yes",Ref_Assumptions!$C$10,"–")</f>
        <v>26</v>
      </c>
      <c r="O15" s="2" t="s">
        <v>255</v>
      </c>
      <c r="P15" s="2" t="s">
        <v>135</v>
      </c>
      <c r="Q15" s="7">
        <f>IF(P15="Yes",Ref_Assumptions!$C$2,Ref_Assumptions!$C$4)</f>
        <v>10</v>
      </c>
      <c r="R15" s="7">
        <f>IF(P15="Yes",Ref_Assumptions!$C$3,Ref_Assumptions!$C$4)</f>
        <v>0.6</v>
      </c>
      <c r="S15" s="4">
        <f>SUMPRODUCT(ISNUMBER(SEARCH(", "&amp;T7_Zones!$B$2:$B$86&amp;",",", "&amp;D15&amp;","))*(T7_Zones!$A$2:$A$86=A15)*T7_Zones!$U$2:$U$86)</f>
        <v>15412.5504</v>
      </c>
      <c r="T15" s="7">
        <f>Ref_Assumptions!$C$5</f>
        <v>0.3</v>
      </c>
    </row>
    <row r="16" spans="1:20" x14ac:dyDescent="0.45">
      <c r="A16" s="2" t="s">
        <v>224</v>
      </c>
      <c r="B16" s="2" t="s">
        <v>152</v>
      </c>
      <c r="C16" s="2">
        <v>2</v>
      </c>
      <c r="D16" s="2" t="s">
        <v>264</v>
      </c>
      <c r="E16" s="8">
        <f>SUMPRODUCT(ISNUMBER(SEARCH(", "&amp;T7_Zones!$B$2:$B$86&amp;",",", "&amp;D16&amp;","))*(T7_Zones!$A$2:$A$86=A16)*T7_Zones!$D$2:$D$86)</f>
        <v>22.04</v>
      </c>
      <c r="F16" s="9">
        <f>SUMPRODUCT(ISNUMBER(SEARCH(", "&amp;T7_Zones!$B$2:$B$86&amp;",",", "&amp;D16&amp;","))*(T7_Zones!$A$2:$A$86=A16)*T7_Zones!$F$2:$F$86)</f>
        <v>0</v>
      </c>
      <c r="G16" s="2">
        <v>0</v>
      </c>
      <c r="H16" s="2" t="s">
        <v>125</v>
      </c>
      <c r="I16" s="2">
        <v>6</v>
      </c>
      <c r="J16" s="2" t="s">
        <v>126</v>
      </c>
      <c r="K16" s="2">
        <v>2</v>
      </c>
      <c r="L16" s="2" t="s">
        <v>127</v>
      </c>
      <c r="M16" s="7" t="str">
        <f>IF(P16="Yes",Ref_Assumptions!$C$8&amp;" / "&amp;Ref_Assumptions!$C$9,"–")</f>
        <v>20 / 15</v>
      </c>
      <c r="N16" s="7">
        <f>IF(P16="Yes",Ref_Assumptions!$C$10,"–")</f>
        <v>26</v>
      </c>
      <c r="O16" s="2" t="s">
        <v>257</v>
      </c>
      <c r="P16" s="2" t="s">
        <v>135</v>
      </c>
      <c r="Q16" s="7">
        <f>IF(P16="Yes",Ref_Assumptions!$C$2,Ref_Assumptions!$C$4)</f>
        <v>10</v>
      </c>
      <c r="R16" s="7">
        <f>IF(P16="Yes",Ref_Assumptions!$C$3,Ref_Assumptions!$C$4)</f>
        <v>0.6</v>
      </c>
      <c r="S16" s="4">
        <f>SUMPRODUCT(ISNUMBER(SEARCH(", "&amp;T7_Zones!$B$2:$B$86&amp;",",", "&amp;D16&amp;","))*(T7_Zones!$A$2:$A$86=A16)*T7_Zones!$U$2:$U$86)</f>
        <v>47.606400000000008</v>
      </c>
      <c r="T16" s="7">
        <f>Ref_Assumptions!$C$5</f>
        <v>0.3</v>
      </c>
    </row>
    <row r="17" spans="1:20" ht="23.25" x14ac:dyDescent="0.45">
      <c r="A17" s="2" t="s">
        <v>224</v>
      </c>
      <c r="B17" s="2" t="s">
        <v>147</v>
      </c>
      <c r="C17" s="2">
        <v>2</v>
      </c>
      <c r="D17" s="2" t="s">
        <v>265</v>
      </c>
      <c r="E17" s="8">
        <f>SUMPRODUCT(ISNUMBER(SEARCH(", "&amp;T7_Zones!$B$2:$B$86&amp;",",", "&amp;D17&amp;","))*(T7_Zones!$A$2:$A$86=A17)*T7_Zones!$D$2:$D$86)</f>
        <v>32.22</v>
      </c>
      <c r="F17" s="9">
        <f>SUMPRODUCT(ISNUMBER(SEARCH(", "&amp;T7_Zones!$B$2:$B$86&amp;",",", "&amp;D17&amp;","))*(T7_Zones!$A$2:$A$86=A17)*T7_Zones!$F$2:$F$86)</f>
        <v>0</v>
      </c>
      <c r="G17" s="2">
        <v>0</v>
      </c>
      <c r="H17" s="2" t="s">
        <v>125</v>
      </c>
      <c r="I17" s="2">
        <v>6</v>
      </c>
      <c r="J17" s="2" t="s">
        <v>126</v>
      </c>
      <c r="K17" s="2">
        <v>2</v>
      </c>
      <c r="L17" s="2" t="s">
        <v>127</v>
      </c>
      <c r="M17" s="7" t="str">
        <f>IF(P17="Yes",Ref_Assumptions!$C$8&amp;" / "&amp;Ref_Assumptions!$C$9,"–")</f>
        <v>–</v>
      </c>
      <c r="N17" s="7" t="str">
        <f>IF(P17="Yes",Ref_Assumptions!$C$10,"–")</f>
        <v>–</v>
      </c>
      <c r="O17" s="2" t="s">
        <v>255</v>
      </c>
      <c r="P17" s="2" t="s">
        <v>129</v>
      </c>
      <c r="Q17" s="7">
        <f>IF(P17="Yes",Ref_Assumptions!$C$2,Ref_Assumptions!$C$4)</f>
        <v>0</v>
      </c>
      <c r="R17" s="7">
        <f>IF(P17="Yes",Ref_Assumptions!$C$3,Ref_Assumptions!$C$4)</f>
        <v>0</v>
      </c>
      <c r="S17" s="4">
        <f>SUMPRODUCT(ISNUMBER(SEARCH(", "&amp;T7_Zones!$B$2:$B$86&amp;",",", "&amp;D17&amp;","))*(T7_Zones!$A$2:$A$86=A17)*T7_Zones!$U$2:$U$86)</f>
        <v>0</v>
      </c>
      <c r="T17" s="7">
        <f>Ref_Assumptions!$C$5</f>
        <v>0.3</v>
      </c>
    </row>
    <row r="18" spans="1:20" ht="23.25" x14ac:dyDescent="0.45">
      <c r="A18" s="2" t="s">
        <v>224</v>
      </c>
      <c r="B18" s="2" t="s">
        <v>147</v>
      </c>
      <c r="C18" s="2">
        <v>4</v>
      </c>
      <c r="D18" s="2" t="s">
        <v>266</v>
      </c>
      <c r="E18" s="8">
        <f>SUMPRODUCT(ISNUMBER(SEARCH(", "&amp;T7_Zones!$B$2:$B$86&amp;",",", "&amp;D18&amp;","))*(T7_Zones!$A$2:$A$86=A18)*T7_Zones!$D$2:$D$86)</f>
        <v>497.21000000000004</v>
      </c>
      <c r="F18" s="9">
        <f>SUMPRODUCT(ISNUMBER(SEARCH(", "&amp;T7_Zones!$B$2:$B$86&amp;",",", "&amp;D18&amp;","))*(T7_Zones!$A$2:$A$86=A18)*T7_Zones!$F$2:$F$86)</f>
        <v>0</v>
      </c>
      <c r="G18" s="2">
        <v>0</v>
      </c>
      <c r="H18" s="2" t="s">
        <v>125</v>
      </c>
      <c r="I18" s="2">
        <v>6</v>
      </c>
      <c r="J18" s="2" t="s">
        <v>154</v>
      </c>
      <c r="K18" s="2">
        <v>0</v>
      </c>
      <c r="L18" s="2" t="s">
        <v>154</v>
      </c>
      <c r="M18" s="7" t="str">
        <f>IF(P18="Yes",Ref_Assumptions!$C$8&amp;" / "&amp;Ref_Assumptions!$C$9,"–")</f>
        <v>–</v>
      </c>
      <c r="N18" s="7" t="str">
        <f>IF(P18="Yes",Ref_Assumptions!$C$10,"–")</f>
        <v>–</v>
      </c>
      <c r="O18" s="2" t="s">
        <v>255</v>
      </c>
      <c r="P18" s="2" t="s">
        <v>129</v>
      </c>
      <c r="Q18" s="7">
        <f>IF(P18="Yes",Ref_Assumptions!$C$2,Ref_Assumptions!$C$4)</f>
        <v>0</v>
      </c>
      <c r="R18" s="7">
        <f>IF(P18="Yes",Ref_Assumptions!$C$3,Ref_Assumptions!$C$4)</f>
        <v>0</v>
      </c>
      <c r="S18" s="4">
        <f>SUMPRODUCT(ISNUMBER(SEARCH(", "&amp;T7_Zones!$B$2:$B$86&amp;",",", "&amp;D18&amp;","))*(T7_Zones!$A$2:$A$86=A18)*T7_Zones!$U$2:$U$86)</f>
        <v>0</v>
      </c>
      <c r="T18" s="7">
        <f>Ref_Assumptions!$C$5</f>
        <v>0.3</v>
      </c>
    </row>
    <row r="19" spans="1:20" ht="23.25" x14ac:dyDescent="0.45">
      <c r="A19" s="2" t="s">
        <v>224</v>
      </c>
      <c r="B19" s="2" t="s">
        <v>147</v>
      </c>
      <c r="C19" s="2">
        <v>1</v>
      </c>
      <c r="D19" s="2" t="s">
        <v>155</v>
      </c>
      <c r="E19" s="8">
        <f>SUMPRODUCT(ISNUMBER(SEARCH(", "&amp;T7_Zones!$B$2:$B$86&amp;",",", "&amp;D19&amp;","))*(T7_Zones!$A$2:$A$86=A19)*T7_Zones!$D$2:$D$86)</f>
        <v>74.92</v>
      </c>
      <c r="F19" s="9">
        <f>SUMPRODUCT(ISNUMBER(SEARCH(", "&amp;T7_Zones!$B$2:$B$86&amp;",",", "&amp;D19&amp;","))*(T7_Zones!$A$2:$A$86=A19)*T7_Zones!$F$2:$F$86)</f>
        <v>0</v>
      </c>
      <c r="G19" s="2">
        <v>0</v>
      </c>
      <c r="H19" s="2" t="s">
        <v>125</v>
      </c>
      <c r="I19" s="2">
        <v>6</v>
      </c>
      <c r="J19" s="2" t="s">
        <v>148</v>
      </c>
      <c r="K19" s="2">
        <v>2</v>
      </c>
      <c r="L19" s="2" t="s">
        <v>127</v>
      </c>
      <c r="M19" s="7" t="str">
        <f>IF(P19="Yes",Ref_Assumptions!$C$8&amp;" / "&amp;Ref_Assumptions!$C$9,"–")</f>
        <v>–</v>
      </c>
      <c r="N19" s="7" t="str">
        <f>IF(P19="Yes",Ref_Assumptions!$C$10,"–")</f>
        <v>–</v>
      </c>
      <c r="O19" s="2" t="s">
        <v>255</v>
      </c>
      <c r="P19" s="2" t="s">
        <v>129</v>
      </c>
      <c r="Q19" s="7">
        <f>IF(P19="Yes",Ref_Assumptions!$C$2,Ref_Assumptions!$C$4)</f>
        <v>0</v>
      </c>
      <c r="R19" s="7">
        <f>IF(P19="Yes",Ref_Assumptions!$C$3,Ref_Assumptions!$C$4)</f>
        <v>0</v>
      </c>
      <c r="S19" s="4">
        <f>SUMPRODUCT(ISNUMBER(SEARCH(", "&amp;T7_Zones!$B$2:$B$86&amp;",",", "&amp;D19&amp;","))*(T7_Zones!$A$2:$A$86=A19)*T7_Zones!$U$2:$U$86)</f>
        <v>0</v>
      </c>
      <c r="T19" s="7">
        <f>Ref_Assumptions!$C$5</f>
        <v>0.3</v>
      </c>
    </row>
    <row r="20" spans="1:20" x14ac:dyDescent="0.45">
      <c r="A20" s="2" t="s">
        <v>224</v>
      </c>
      <c r="B20" s="2" t="s">
        <v>152</v>
      </c>
      <c r="C20" s="2">
        <v>1</v>
      </c>
      <c r="D20" s="2" t="s">
        <v>156</v>
      </c>
      <c r="E20" s="8">
        <f>SUMPRODUCT(ISNUMBER(SEARCH(", "&amp;T7_Zones!$B$2:$B$86&amp;",",", "&amp;D20&amp;","))*(T7_Zones!$A$2:$A$86=A20)*T7_Zones!$D$2:$D$86)</f>
        <v>38.03</v>
      </c>
      <c r="F20" s="9">
        <f>SUMPRODUCT(ISNUMBER(SEARCH(", "&amp;T7_Zones!$B$2:$B$86&amp;",",", "&amp;D20&amp;","))*(T7_Zones!$A$2:$A$86=A20)*T7_Zones!$F$2:$F$86)</f>
        <v>0</v>
      </c>
      <c r="G20" s="2">
        <v>0</v>
      </c>
      <c r="H20" s="2" t="s">
        <v>125</v>
      </c>
      <c r="I20" s="2">
        <v>6</v>
      </c>
      <c r="J20" s="2" t="s">
        <v>154</v>
      </c>
      <c r="K20" s="2">
        <v>0</v>
      </c>
      <c r="L20" s="2" t="s">
        <v>154</v>
      </c>
      <c r="M20" s="7" t="str">
        <f>IF(P20="Yes",Ref_Assumptions!$C$8&amp;" / "&amp;Ref_Assumptions!$C$9,"–")</f>
        <v>20 / 15</v>
      </c>
      <c r="N20" s="7">
        <f>IF(P20="Yes",Ref_Assumptions!$C$10,"–")</f>
        <v>26</v>
      </c>
      <c r="O20" s="2" t="s">
        <v>255</v>
      </c>
      <c r="P20" s="2" t="s">
        <v>135</v>
      </c>
      <c r="Q20" s="7">
        <f>IF(P20="Yes",Ref_Assumptions!$C$2,Ref_Assumptions!$C$4)</f>
        <v>10</v>
      </c>
      <c r="R20" s="7">
        <f>IF(P20="Yes",Ref_Assumptions!$C$3,Ref_Assumptions!$C$4)</f>
        <v>0.6</v>
      </c>
      <c r="S20" s="4">
        <f>SUMPRODUCT(ISNUMBER(SEARCH(", "&amp;T7_Zones!$B$2:$B$86&amp;",",", "&amp;D20&amp;","))*(T7_Zones!$A$2:$A$86=A20)*T7_Zones!$U$2:$U$86)</f>
        <v>82.144800000000004</v>
      </c>
      <c r="T20" s="7">
        <f>Ref_Assumptions!$C$5</f>
        <v>0.3</v>
      </c>
    </row>
    <row r="21" spans="1:20" ht="23.25" x14ac:dyDescent="0.45">
      <c r="A21" s="2" t="s">
        <v>224</v>
      </c>
      <c r="B21" s="2" t="s">
        <v>147</v>
      </c>
      <c r="C21" s="2">
        <v>1</v>
      </c>
      <c r="D21" s="2" t="s">
        <v>157</v>
      </c>
      <c r="E21" s="8">
        <f>SUMPRODUCT(ISNUMBER(SEARCH(", "&amp;T7_Zones!$B$2:$B$86&amp;",",", "&amp;D21&amp;","))*(T7_Zones!$A$2:$A$86=A21)*T7_Zones!$D$2:$D$86)</f>
        <v>8.58</v>
      </c>
      <c r="F21" s="9">
        <f>SUMPRODUCT(ISNUMBER(SEARCH(", "&amp;T7_Zones!$B$2:$B$86&amp;",",", "&amp;D21&amp;","))*(T7_Zones!$A$2:$A$86=A21)*T7_Zones!$F$2:$F$86)</f>
        <v>0</v>
      </c>
      <c r="G21" s="2">
        <v>0</v>
      </c>
      <c r="H21" s="2" t="s">
        <v>262</v>
      </c>
      <c r="I21" s="2">
        <v>6</v>
      </c>
      <c r="J21" s="2" t="s">
        <v>126</v>
      </c>
      <c r="K21" s="2">
        <v>2</v>
      </c>
      <c r="L21" s="2" t="s">
        <v>127</v>
      </c>
      <c r="M21" s="7" t="str">
        <f>IF(P21="Yes",Ref_Assumptions!$C$8&amp;" / "&amp;Ref_Assumptions!$C$9,"–")</f>
        <v>–</v>
      </c>
      <c r="N21" s="7" t="str">
        <f>IF(P21="Yes",Ref_Assumptions!$C$10,"–")</f>
        <v>–</v>
      </c>
      <c r="O21" s="2" t="s">
        <v>257</v>
      </c>
      <c r="P21" s="2" t="s">
        <v>129</v>
      </c>
      <c r="Q21" s="7">
        <f>IF(P21="Yes",Ref_Assumptions!$C$2,Ref_Assumptions!$C$4)</f>
        <v>0</v>
      </c>
      <c r="R21" s="7">
        <f>IF(P21="Yes",Ref_Assumptions!$C$3,Ref_Assumptions!$C$4)</f>
        <v>0</v>
      </c>
      <c r="S21" s="4">
        <f>SUMPRODUCT(ISNUMBER(SEARCH(", "&amp;T7_Zones!$B$2:$B$86&amp;",",", "&amp;D21&amp;","))*(T7_Zones!$A$2:$A$86=A21)*T7_Zones!$U$2:$U$86)</f>
        <v>0</v>
      </c>
      <c r="T21" s="7">
        <f>Ref_Assumptions!$C$5</f>
        <v>0.3</v>
      </c>
    </row>
    <row r="22" spans="1:20" x14ac:dyDescent="0.45">
      <c r="A22" s="2" t="s">
        <v>224</v>
      </c>
      <c r="B22" s="2" t="s">
        <v>152</v>
      </c>
      <c r="C22" s="2">
        <v>2</v>
      </c>
      <c r="D22" s="2" t="s">
        <v>267</v>
      </c>
      <c r="E22" s="8">
        <f>SUMPRODUCT(ISNUMBER(SEARCH(", "&amp;T7_Zones!$B$2:$B$86&amp;",",", "&amp;D22&amp;","))*(T7_Zones!$A$2:$A$86=A22)*T7_Zones!$D$2:$D$86)</f>
        <v>547.55999999999995</v>
      </c>
      <c r="F22" s="9">
        <f>SUMPRODUCT(ISNUMBER(SEARCH(", "&amp;T7_Zones!$B$2:$B$86&amp;",",", "&amp;D22&amp;","))*(T7_Zones!$A$2:$A$86=A22)*T7_Zones!$F$2:$F$86)</f>
        <v>0</v>
      </c>
      <c r="G22" s="2">
        <v>0</v>
      </c>
      <c r="H22" s="2" t="s">
        <v>125</v>
      </c>
      <c r="I22" s="2">
        <v>6</v>
      </c>
      <c r="J22" s="2" t="s">
        <v>148</v>
      </c>
      <c r="K22" s="2">
        <v>0</v>
      </c>
      <c r="L22" s="2" t="s">
        <v>149</v>
      </c>
      <c r="M22" s="7" t="str">
        <f>IF(P22="Yes",Ref_Assumptions!$C$8&amp;" / "&amp;Ref_Assumptions!$C$9,"–")</f>
        <v>20 / 15</v>
      </c>
      <c r="N22" s="7">
        <f>IF(P22="Yes",Ref_Assumptions!$C$10,"–")</f>
        <v>26</v>
      </c>
      <c r="O22" s="2" t="s">
        <v>255</v>
      </c>
      <c r="P22" s="2" t="s">
        <v>135</v>
      </c>
      <c r="Q22" s="7">
        <f>IF(P22="Yes",Ref_Assumptions!$C$2,Ref_Assumptions!$C$4)</f>
        <v>10</v>
      </c>
      <c r="R22" s="7">
        <f>IF(P22="Yes",Ref_Assumptions!$C$3,Ref_Assumptions!$C$4)</f>
        <v>0.6</v>
      </c>
      <c r="S22" s="4">
        <f>SUMPRODUCT(ISNUMBER(SEARCH(", "&amp;T7_Zones!$B$2:$B$86&amp;",",", "&amp;D22&amp;","))*(T7_Zones!$A$2:$A$86=A22)*T7_Zones!$U$2:$U$86)</f>
        <v>1182.7295999999999</v>
      </c>
      <c r="T22" s="7">
        <f>Ref_Assumptions!$C$5</f>
        <v>0.3</v>
      </c>
    </row>
    <row r="23" spans="1:20" x14ac:dyDescent="0.45">
      <c r="A23" s="2" t="s">
        <v>224</v>
      </c>
      <c r="B23" s="2" t="s">
        <v>152</v>
      </c>
      <c r="C23" s="2">
        <v>1</v>
      </c>
      <c r="D23" s="2" t="s">
        <v>160</v>
      </c>
      <c r="E23" s="8">
        <f>SUMPRODUCT(ISNUMBER(SEARCH(", "&amp;T7_Zones!$B$2:$B$86&amp;",",", "&amp;D23&amp;","))*(T7_Zones!$A$2:$A$86=A23)*T7_Zones!$D$2:$D$86)</f>
        <v>66.069999999999993</v>
      </c>
      <c r="F23" s="9">
        <f>SUMPRODUCT(ISNUMBER(SEARCH(", "&amp;T7_Zones!$B$2:$B$86&amp;",",", "&amp;D23&amp;","))*(T7_Zones!$A$2:$A$86=A23)*T7_Zones!$F$2:$F$86)</f>
        <v>0</v>
      </c>
      <c r="G23" s="2">
        <v>0</v>
      </c>
      <c r="H23" s="2" t="s">
        <v>125</v>
      </c>
      <c r="I23" s="2">
        <v>6</v>
      </c>
      <c r="J23" s="2" t="s">
        <v>126</v>
      </c>
      <c r="K23" s="2">
        <v>0</v>
      </c>
      <c r="L23" s="2" t="s">
        <v>149</v>
      </c>
      <c r="M23" s="7" t="str">
        <f>IF(P23="Yes",Ref_Assumptions!$C$8&amp;" / "&amp;Ref_Assumptions!$C$9,"–")</f>
        <v>20 / 15</v>
      </c>
      <c r="N23" s="7">
        <f>IF(P23="Yes",Ref_Assumptions!$C$10,"–")</f>
        <v>26</v>
      </c>
      <c r="O23" s="2" t="s">
        <v>255</v>
      </c>
      <c r="P23" s="2" t="s">
        <v>135</v>
      </c>
      <c r="Q23" s="7">
        <f>IF(P23="Yes",Ref_Assumptions!$C$2,Ref_Assumptions!$C$4)</f>
        <v>10</v>
      </c>
      <c r="R23" s="7">
        <f>IF(P23="Yes",Ref_Assumptions!$C$3,Ref_Assumptions!$C$4)</f>
        <v>0.6</v>
      </c>
      <c r="S23" s="4">
        <f>SUMPRODUCT(ISNUMBER(SEARCH(", "&amp;T7_Zones!$B$2:$B$86&amp;",",", "&amp;D23&amp;","))*(T7_Zones!$A$2:$A$86=A23)*T7_Zones!$U$2:$U$86)</f>
        <v>142.71119999999999</v>
      </c>
      <c r="T23" s="7">
        <f>Ref_Assumptions!$C$5</f>
        <v>0.3</v>
      </c>
    </row>
    <row r="24" spans="1:20" x14ac:dyDescent="0.45">
      <c r="A24" s="2" t="s">
        <v>224</v>
      </c>
      <c r="B24" s="2" t="s">
        <v>228</v>
      </c>
      <c r="C24" s="2">
        <v>1</v>
      </c>
      <c r="D24" s="2" t="s">
        <v>227</v>
      </c>
      <c r="E24" s="8">
        <f>SUMPRODUCT(ISNUMBER(SEARCH(", "&amp;T7_Zones!$B$2:$B$86&amp;",",", "&amp;D24&amp;","))*(T7_Zones!$A$2:$A$86=A24)*T7_Zones!$D$2:$D$86)</f>
        <v>282.3</v>
      </c>
      <c r="F24" s="9">
        <f>SUMPRODUCT(ISNUMBER(SEARCH(", "&amp;T7_Zones!$B$2:$B$86&amp;",",", "&amp;D24&amp;","))*(T7_Zones!$A$2:$A$86=A24)*T7_Zones!$F$2:$F$86)</f>
        <v>225.84000000000003</v>
      </c>
      <c r="G24" s="2">
        <v>0.8</v>
      </c>
      <c r="H24" s="2" t="s">
        <v>125</v>
      </c>
      <c r="I24" s="2">
        <v>6</v>
      </c>
      <c r="J24" s="2" t="s">
        <v>126</v>
      </c>
      <c r="K24" s="2">
        <v>0</v>
      </c>
      <c r="L24" s="2" t="s">
        <v>149</v>
      </c>
      <c r="M24" s="7" t="str">
        <f>IF(P24="Yes",Ref_Assumptions!$C$8&amp;" / "&amp;Ref_Assumptions!$C$9,"–")</f>
        <v>20 / 15</v>
      </c>
      <c r="N24" s="7">
        <f>IF(P24="Yes",Ref_Assumptions!$C$10,"–")</f>
        <v>26</v>
      </c>
      <c r="O24" s="2" t="s">
        <v>255</v>
      </c>
      <c r="P24" s="2" t="s">
        <v>135</v>
      </c>
      <c r="Q24" s="7">
        <f>IF(P24="Yes",Ref_Assumptions!$C$2,Ref_Assumptions!$C$4)</f>
        <v>10</v>
      </c>
      <c r="R24" s="7">
        <f>IF(P24="Yes",Ref_Assumptions!$C$3,Ref_Assumptions!$C$4)</f>
        <v>0.6</v>
      </c>
      <c r="S24" s="4">
        <f>SUMPRODUCT(ISNUMBER(SEARCH(", "&amp;T7_Zones!$B$2:$B$86&amp;",",", "&amp;D24&amp;","))*(T7_Zones!$A$2:$A$86=A24)*T7_Zones!$U$2:$U$86)</f>
        <v>8740.0080000000034</v>
      </c>
      <c r="T24" s="7">
        <f>Ref_Assumptions!$C$5</f>
        <v>0.3</v>
      </c>
    </row>
    <row r="25" spans="1:20" x14ac:dyDescent="0.45">
      <c r="A25" s="2" t="s">
        <v>224</v>
      </c>
      <c r="B25" s="2" t="s">
        <v>173</v>
      </c>
      <c r="C25" s="2">
        <v>1</v>
      </c>
      <c r="D25" s="2" t="s">
        <v>169</v>
      </c>
      <c r="E25" s="8">
        <f>SUMPRODUCT(ISNUMBER(SEARCH(", "&amp;T7_Zones!$B$2:$B$86&amp;",",", "&amp;D25&amp;","))*(T7_Zones!$A$2:$A$86=A25)*T7_Zones!$D$2:$D$86)</f>
        <v>65.63</v>
      </c>
      <c r="F25" s="9">
        <f>SUMPRODUCT(ISNUMBER(SEARCH(", "&amp;T7_Zones!$B$2:$B$86&amp;",",", "&amp;D25&amp;","))*(T7_Zones!$A$2:$A$86=A25)*T7_Zones!$F$2:$F$86)</f>
        <v>19.688999999999997</v>
      </c>
      <c r="G25" s="2">
        <v>0.3</v>
      </c>
      <c r="H25" s="2" t="s">
        <v>125</v>
      </c>
      <c r="I25" s="2">
        <v>6</v>
      </c>
      <c r="J25" s="2" t="s">
        <v>148</v>
      </c>
      <c r="K25" s="2">
        <v>0</v>
      </c>
      <c r="L25" s="2" t="s">
        <v>149</v>
      </c>
      <c r="M25" s="7" t="str">
        <f>IF(P25="Yes",Ref_Assumptions!$C$8&amp;" / "&amp;Ref_Assumptions!$C$9,"–")</f>
        <v>20 / 15</v>
      </c>
      <c r="N25" s="7">
        <f>IF(P25="Yes",Ref_Assumptions!$C$10,"–")</f>
        <v>26</v>
      </c>
      <c r="O25" s="2" t="s">
        <v>255</v>
      </c>
      <c r="P25" s="2" t="s">
        <v>135</v>
      </c>
      <c r="Q25" s="7">
        <f>IF(P25="Yes",Ref_Assumptions!$C$2,Ref_Assumptions!$C$4)</f>
        <v>10</v>
      </c>
      <c r="R25" s="7">
        <f>IF(P25="Yes",Ref_Assumptions!$C$3,Ref_Assumptions!$C$4)</f>
        <v>0.6</v>
      </c>
      <c r="S25" s="4">
        <f>SUMPRODUCT(ISNUMBER(SEARCH(", "&amp;T7_Zones!$B$2:$B$86&amp;",",", "&amp;D25&amp;","))*(T7_Zones!$A$2:$A$86=A25)*T7_Zones!$U$2:$U$86)</f>
        <v>850.56479999999976</v>
      </c>
      <c r="T25" s="7">
        <f>Ref_Assumptions!$C$5</f>
        <v>0.3</v>
      </c>
    </row>
    <row r="26" spans="1:20" ht="23.25" x14ac:dyDescent="0.45">
      <c r="A26" s="2" t="s">
        <v>224</v>
      </c>
      <c r="B26" s="2" t="s">
        <v>161</v>
      </c>
      <c r="C26" s="2">
        <v>4</v>
      </c>
      <c r="D26" s="2" t="s">
        <v>268</v>
      </c>
      <c r="E26" s="8">
        <f>SUMPRODUCT(ISNUMBER(SEARCH(", "&amp;T7_Zones!$B$2:$B$86&amp;",",", "&amp;D26&amp;","))*(T7_Zones!$A$2:$A$86=A26)*T7_Zones!$D$2:$D$86)</f>
        <v>1473.42</v>
      </c>
      <c r="F26" s="9">
        <f>SUMPRODUCT(ISNUMBER(SEARCH(", "&amp;T7_Zones!$B$2:$B$86&amp;",",", "&amp;D26&amp;","))*(T7_Zones!$A$2:$A$86=A26)*T7_Zones!$F$2:$F$86)</f>
        <v>884.05199999999991</v>
      </c>
      <c r="G26" s="2">
        <v>0.6</v>
      </c>
      <c r="H26" s="2" t="s">
        <v>262</v>
      </c>
      <c r="I26" s="2">
        <v>6</v>
      </c>
      <c r="J26" s="2" t="s">
        <v>269</v>
      </c>
      <c r="K26" s="2">
        <v>10</v>
      </c>
      <c r="L26" s="2" t="s">
        <v>270</v>
      </c>
      <c r="M26" s="7" t="str">
        <f>IF(P26="Yes",Ref_Assumptions!$C$8&amp;" / "&amp;Ref_Assumptions!$C$9,"–")</f>
        <v>20 / 15</v>
      </c>
      <c r="N26" s="7">
        <f>IF(P26="Yes",Ref_Assumptions!$C$10,"–")</f>
        <v>26</v>
      </c>
      <c r="O26" s="2" t="s">
        <v>255</v>
      </c>
      <c r="P26" s="2" t="s">
        <v>135</v>
      </c>
      <c r="Q26" s="7">
        <f>IF(P26="Yes",Ref_Assumptions!$C$2,Ref_Assumptions!$C$4)</f>
        <v>10</v>
      </c>
      <c r="R26" s="7">
        <f>IF(P26="Yes",Ref_Assumptions!$C$3,Ref_Assumptions!$C$4)</f>
        <v>0.6</v>
      </c>
      <c r="S26" s="4">
        <f>SUMPRODUCT(ISNUMBER(SEARCH(", "&amp;T7_Zones!$B$2:$B$86&amp;",",", "&amp;D26&amp;","))*(T7_Zones!$A$2:$A$86=A26)*T7_Zones!$U$2:$U$86)</f>
        <v>35008.459199999998</v>
      </c>
      <c r="T26" s="7">
        <f>Ref_Assumptions!$C$5</f>
        <v>0.3</v>
      </c>
    </row>
  </sheetData>
  <autoFilter ref="A1:T26" xr:uid="{00000000-0009-0000-0000-000003000000}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2" width="30" customWidth="1"/>
    <col min="3" max="3" width="9" customWidth="1"/>
    <col min="4" max="4" width="30" customWidth="1"/>
    <col min="5" max="5" width="7" customWidth="1"/>
    <col min="6" max="6" width="110" customWidth="1"/>
    <col min="7" max="7" width="8" customWidth="1"/>
    <col min="8" max="9" width="9" customWidth="1"/>
    <col min="10" max="12" width="8" customWidth="1"/>
    <col min="13" max="13" width="11" customWidth="1"/>
    <col min="14" max="14" width="8" customWidth="1"/>
    <col min="15" max="15" width="11" customWidth="1"/>
    <col min="16" max="16" width="8" customWidth="1"/>
  </cols>
  <sheetData>
    <row r="1" spans="1:16" ht="39.4" x14ac:dyDescent="0.45">
      <c r="A1" s="1" t="s">
        <v>271</v>
      </c>
      <c r="B1" s="1" t="s">
        <v>272</v>
      </c>
      <c r="C1" s="1" t="s">
        <v>273</v>
      </c>
      <c r="D1" s="1" t="s">
        <v>274</v>
      </c>
      <c r="E1" s="1" t="s">
        <v>275</v>
      </c>
      <c r="F1" s="1" t="s">
        <v>276</v>
      </c>
      <c r="G1" s="1" t="s">
        <v>277</v>
      </c>
      <c r="H1" s="1" t="s">
        <v>278</v>
      </c>
      <c r="I1" s="1" t="s">
        <v>279</v>
      </c>
      <c r="J1" s="1" t="s">
        <v>280</v>
      </c>
      <c r="K1" s="1" t="s">
        <v>281</v>
      </c>
      <c r="L1" s="1" t="s">
        <v>282</v>
      </c>
      <c r="M1" s="1" t="s">
        <v>283</v>
      </c>
      <c r="N1" s="1" t="s">
        <v>284</v>
      </c>
      <c r="O1" s="1" t="s">
        <v>285</v>
      </c>
      <c r="P1" s="1" t="s">
        <v>286</v>
      </c>
    </row>
    <row r="2" spans="1:16" ht="34.9" x14ac:dyDescent="0.45">
      <c r="A2" s="2" t="s">
        <v>287</v>
      </c>
      <c r="B2" s="2" t="s">
        <v>288</v>
      </c>
      <c r="C2" s="10" t="s">
        <v>135</v>
      </c>
      <c r="D2" s="2" t="s">
        <v>289</v>
      </c>
      <c r="E2" s="2">
        <v>8</v>
      </c>
      <c r="F2" s="2" t="s">
        <v>290</v>
      </c>
      <c r="G2" s="2" t="s">
        <v>122</v>
      </c>
      <c r="H2" s="11">
        <f>SUMIFS(Val_Layers!$F$2:$F$220,Val_Layers!$A$2:$A$220,G2,Val_Layers!$B$2:$B$220,A2)</f>
        <v>0.40500000000000008</v>
      </c>
      <c r="I2" s="11">
        <f>SUMIFS(Val_Layers!$N$2:$N$220,Val_Layers!$A$2:$A$220,G2,Val_Layers!$B$2:$B$220,A2)</f>
        <v>3.6171879228704173</v>
      </c>
      <c r="J2" s="12">
        <v>0.13</v>
      </c>
      <c r="K2" s="12">
        <v>0.04</v>
      </c>
      <c r="L2" s="5">
        <f t="shared" ref="L2:L19" si="0">1/(J2+I2+K2)</f>
        <v>0.26404815931132131</v>
      </c>
      <c r="M2" s="2">
        <v>89.5</v>
      </c>
      <c r="N2" s="2">
        <v>3</v>
      </c>
      <c r="O2" s="2">
        <v>98.6</v>
      </c>
      <c r="P2" s="2">
        <v>3</v>
      </c>
    </row>
    <row r="3" spans="1:16" ht="34.9" x14ac:dyDescent="0.45">
      <c r="A3" s="2" t="s">
        <v>291</v>
      </c>
      <c r="B3" s="2" t="s">
        <v>288</v>
      </c>
      <c r="C3" s="10" t="s">
        <v>135</v>
      </c>
      <c r="D3" s="2" t="s">
        <v>292</v>
      </c>
      <c r="E3" s="2">
        <v>8</v>
      </c>
      <c r="F3" s="2" t="s">
        <v>293</v>
      </c>
      <c r="G3" s="2" t="s">
        <v>122</v>
      </c>
      <c r="H3" s="11">
        <f>SUMIFS(Val_Layers!$F$2:$F$220,Val_Layers!$A$2:$A$220,G3,Val_Layers!$B$2:$B$220,A3)</f>
        <v>0.505</v>
      </c>
      <c r="I3" s="11">
        <f>SUMIFS(Val_Layers!$N$2:$N$220,Val_Layers!$A$2:$A$220,G3,Val_Layers!$B$2:$B$220,A3)</f>
        <v>4.6771879228704165</v>
      </c>
      <c r="J3" s="12">
        <v>0.13</v>
      </c>
      <c r="K3" s="12">
        <v>0.04</v>
      </c>
      <c r="L3" s="5">
        <f t="shared" si="0"/>
        <v>0.20630518476119206</v>
      </c>
      <c r="M3" s="2">
        <v>2427.6</v>
      </c>
      <c r="N3" s="2">
        <v>156</v>
      </c>
      <c r="O3" s="2">
        <v>531.9</v>
      </c>
      <c r="P3" s="2">
        <v>33</v>
      </c>
    </row>
    <row r="4" spans="1:16" ht="46.5" x14ac:dyDescent="0.45">
      <c r="A4" s="2" t="s">
        <v>294</v>
      </c>
      <c r="B4" s="2" t="s">
        <v>288</v>
      </c>
      <c r="C4" s="10" t="s">
        <v>135</v>
      </c>
      <c r="D4" s="2" t="s">
        <v>289</v>
      </c>
      <c r="E4" s="2">
        <v>9</v>
      </c>
      <c r="F4" s="2" t="s">
        <v>295</v>
      </c>
      <c r="G4" s="2" t="s">
        <v>122</v>
      </c>
      <c r="H4" s="11">
        <f>SUMIFS(Val_Layers!$F$2:$F$220,Val_Layers!$A$2:$A$220,G4,Val_Layers!$B$2:$B$220,A4)</f>
        <v>0.93499999999999994</v>
      </c>
      <c r="I4" s="11">
        <f>SUMIFS(Val_Layers!$N$2:$N$220,Val_Layers!$A$2:$A$220,G4,Val_Layers!$B$2:$B$220,A4)</f>
        <v>5.0884976743044508</v>
      </c>
      <c r="J4" s="12">
        <v>0.13</v>
      </c>
      <c r="K4" s="12">
        <v>0.04</v>
      </c>
      <c r="L4" s="5">
        <f t="shared" si="0"/>
        <v>0.19016838305101494</v>
      </c>
      <c r="M4" s="2">
        <v>179.4</v>
      </c>
      <c r="N4" s="2">
        <v>13</v>
      </c>
      <c r="O4" s="2">
        <v>214</v>
      </c>
      <c r="P4" s="2">
        <v>8</v>
      </c>
    </row>
    <row r="5" spans="1:16" ht="34.9" x14ac:dyDescent="0.45">
      <c r="A5" s="2" t="s">
        <v>296</v>
      </c>
      <c r="B5" s="2" t="s">
        <v>288</v>
      </c>
      <c r="C5" s="10" t="s">
        <v>135</v>
      </c>
      <c r="D5" s="2" t="s">
        <v>289</v>
      </c>
      <c r="E5" s="2">
        <v>7</v>
      </c>
      <c r="F5" s="2" t="s">
        <v>297</v>
      </c>
      <c r="G5" s="2" t="s">
        <v>122</v>
      </c>
      <c r="H5" s="11">
        <f>SUMIFS(Val_Layers!$F$2:$F$220,Val_Layers!$A$2:$A$220,G5,Val_Layers!$B$2:$B$220,A5)</f>
        <v>0.84499999999999997</v>
      </c>
      <c r="I5" s="11">
        <f>SUMIFS(Val_Layers!$N$2:$N$220,Val_Layers!$A$2:$A$220,G5,Val_Layers!$B$2:$B$220,A5)</f>
        <v>3.3444500552568326</v>
      </c>
      <c r="J5" s="12">
        <v>0.13</v>
      </c>
      <c r="K5" s="12">
        <v>0.04</v>
      </c>
      <c r="L5" s="5">
        <f t="shared" si="0"/>
        <v>0.28453953940936599</v>
      </c>
      <c r="M5" s="2">
        <v>250.3</v>
      </c>
      <c r="N5" s="2">
        <v>11</v>
      </c>
      <c r="O5" s="2">
        <v>12.3</v>
      </c>
      <c r="P5" s="2">
        <v>1</v>
      </c>
    </row>
    <row r="6" spans="1:16" ht="46.5" x14ac:dyDescent="0.45">
      <c r="A6" s="2" t="s">
        <v>298</v>
      </c>
      <c r="B6" s="2" t="s">
        <v>288</v>
      </c>
      <c r="C6" s="10" t="s">
        <v>135</v>
      </c>
      <c r="D6" s="2" t="s">
        <v>289</v>
      </c>
      <c r="E6" s="2">
        <v>9</v>
      </c>
      <c r="F6" s="2" t="s">
        <v>299</v>
      </c>
      <c r="G6" s="2" t="s">
        <v>122</v>
      </c>
      <c r="H6" s="11">
        <f>SUMIFS(Val_Layers!$F$2:$F$220,Val_Layers!$A$2:$A$220,G6,Val_Layers!$B$2:$B$220,A6)</f>
        <v>0.93499999999999994</v>
      </c>
      <c r="I6" s="11">
        <f>SUMIFS(Val_Layers!$N$2:$N$220,Val_Layers!$A$2:$A$220,G6,Val_Layers!$B$2:$B$220,A6)</f>
        <v>6.1734159930458556</v>
      </c>
      <c r="J6" s="12">
        <v>0.13</v>
      </c>
      <c r="K6" s="12">
        <v>0.04</v>
      </c>
      <c r="L6" s="5">
        <f t="shared" si="0"/>
        <v>0.15764376813632869</v>
      </c>
      <c r="M6" s="2">
        <v>493.4</v>
      </c>
      <c r="N6" s="2">
        <v>34</v>
      </c>
      <c r="O6" s="2">
        <v>108</v>
      </c>
      <c r="P6" s="2">
        <v>2</v>
      </c>
    </row>
    <row r="7" spans="1:16" ht="23.25" x14ac:dyDescent="0.45">
      <c r="A7" s="2" t="s">
        <v>300</v>
      </c>
      <c r="B7" s="2" t="s">
        <v>288</v>
      </c>
      <c r="C7" s="10" t="s">
        <v>135</v>
      </c>
      <c r="D7" s="2" t="s">
        <v>289</v>
      </c>
      <c r="E7" s="2">
        <v>3</v>
      </c>
      <c r="F7" s="2" t="s">
        <v>301</v>
      </c>
      <c r="G7" s="2" t="s">
        <v>224</v>
      </c>
      <c r="H7" s="11">
        <f>SUMIFS(Val_Layers!$F$2:$F$220,Val_Layers!$A$2:$A$220,G7,Val_Layers!$B$2:$B$220,A7)</f>
        <v>0.29000000000000004</v>
      </c>
      <c r="I7" s="11">
        <f>SUMIFS(Val_Layers!$N$2:$N$220,Val_Layers!$A$2:$A$220,G7,Val_Layers!$B$2:$B$220,A7)</f>
        <v>0.3342802512974597</v>
      </c>
      <c r="J7" s="12">
        <v>0.13</v>
      </c>
      <c r="K7" s="12">
        <v>0.04</v>
      </c>
      <c r="L7" s="5">
        <f t="shared" si="0"/>
        <v>1.9830243152039086</v>
      </c>
      <c r="M7" s="2">
        <v>0</v>
      </c>
      <c r="N7" s="2">
        <v>0</v>
      </c>
      <c r="O7" s="2">
        <v>190.2</v>
      </c>
      <c r="P7" s="2">
        <v>15</v>
      </c>
    </row>
    <row r="8" spans="1:16" ht="23.25" x14ac:dyDescent="0.45">
      <c r="A8" s="2" t="s">
        <v>302</v>
      </c>
      <c r="B8" s="2" t="s">
        <v>288</v>
      </c>
      <c r="C8" s="10" t="s">
        <v>135</v>
      </c>
      <c r="D8" s="2" t="s">
        <v>289</v>
      </c>
      <c r="E8" s="2">
        <v>5</v>
      </c>
      <c r="F8" s="2" t="s">
        <v>303</v>
      </c>
      <c r="G8" s="2" t="s">
        <v>122</v>
      </c>
      <c r="H8" s="11">
        <f>SUMIFS(Val_Layers!$F$2:$F$220,Val_Layers!$A$2:$A$220,G8,Val_Layers!$B$2:$B$220,A8)</f>
        <v>0.37500000000000006</v>
      </c>
      <c r="I8" s="11">
        <f>SUMIFS(Val_Layers!$N$2:$N$220,Val_Layers!$A$2:$A$220,G8,Val_Layers!$B$2:$B$220,A8)</f>
        <v>2.0640421560593643</v>
      </c>
      <c r="J8" s="12">
        <v>0.13</v>
      </c>
      <c r="K8" s="12">
        <v>0.04</v>
      </c>
      <c r="L8" s="5">
        <f t="shared" si="0"/>
        <v>0.44761912718957103</v>
      </c>
      <c r="M8" s="2">
        <v>1131.5999999999999</v>
      </c>
      <c r="N8" s="2">
        <v>48</v>
      </c>
      <c r="O8" s="2">
        <v>0</v>
      </c>
      <c r="P8" s="2">
        <v>0</v>
      </c>
    </row>
    <row r="9" spans="1:16" ht="34.9" x14ac:dyDescent="0.45">
      <c r="A9" s="2" t="s">
        <v>304</v>
      </c>
      <c r="B9" s="2" t="s">
        <v>288</v>
      </c>
      <c r="C9" s="10" t="s">
        <v>135</v>
      </c>
      <c r="D9" s="2" t="s">
        <v>289</v>
      </c>
      <c r="E9" s="2">
        <v>8</v>
      </c>
      <c r="F9" s="2" t="s">
        <v>305</v>
      </c>
      <c r="G9" s="2" t="s">
        <v>122</v>
      </c>
      <c r="H9" s="11">
        <f>SUMIFS(Val_Layers!$F$2:$F$220,Val_Layers!$A$2:$A$220,G9,Val_Layers!$B$2:$B$220,A9)</f>
        <v>0.65</v>
      </c>
      <c r="I9" s="11">
        <f>SUMIFS(Val_Layers!$N$2:$N$220,Val_Layers!$A$2:$A$220,G9,Val_Layers!$B$2:$B$220,A9)</f>
        <v>4.8330897751069823</v>
      </c>
      <c r="J9" s="12">
        <v>0.13</v>
      </c>
      <c r="K9" s="12">
        <v>0.04</v>
      </c>
      <c r="L9" s="5">
        <f t="shared" si="0"/>
        <v>0.19987648532223604</v>
      </c>
      <c r="M9" s="2">
        <v>4.8</v>
      </c>
      <c r="N9" s="2">
        <v>1</v>
      </c>
      <c r="O9" s="2">
        <v>0</v>
      </c>
      <c r="P9" s="2">
        <v>0</v>
      </c>
    </row>
    <row r="10" spans="1:16" ht="23.25" x14ac:dyDescent="0.45">
      <c r="A10" s="2" t="s">
        <v>306</v>
      </c>
      <c r="B10" s="2" t="s">
        <v>307</v>
      </c>
      <c r="C10" s="10" t="s">
        <v>135</v>
      </c>
      <c r="D10" s="2" t="s">
        <v>308</v>
      </c>
      <c r="E10" s="2">
        <v>4</v>
      </c>
      <c r="F10" s="2" t="s">
        <v>309</v>
      </c>
      <c r="G10" s="2" t="s">
        <v>122</v>
      </c>
      <c r="H10" s="11">
        <f>SUMIFS(Val_Layers!$F$2:$F$220,Val_Layers!$A$2:$A$220,G10,Val_Layers!$B$2:$B$220,A10)</f>
        <v>0.53</v>
      </c>
      <c r="I10" s="11">
        <f>SUMIFS(Val_Layers!$N$2:$N$220,Val_Layers!$A$2:$A$220,G10,Val_Layers!$B$2:$B$220,A10)</f>
        <v>2.4056724028043339</v>
      </c>
      <c r="J10" s="12">
        <v>0.1</v>
      </c>
      <c r="K10" s="12">
        <v>0.04</v>
      </c>
      <c r="L10" s="5">
        <f t="shared" si="0"/>
        <v>0.39282352234262019</v>
      </c>
      <c r="M10" s="2">
        <v>4003</v>
      </c>
      <c r="N10" s="2">
        <v>52</v>
      </c>
      <c r="O10" s="2">
        <v>1590.2</v>
      </c>
      <c r="P10" s="2">
        <v>17</v>
      </c>
    </row>
    <row r="11" spans="1:16" ht="34.9" x14ac:dyDescent="0.45">
      <c r="A11" s="2" t="s">
        <v>310</v>
      </c>
      <c r="B11" s="2" t="s">
        <v>311</v>
      </c>
      <c r="C11" s="10" t="s">
        <v>135</v>
      </c>
      <c r="D11" s="2" t="s">
        <v>289</v>
      </c>
      <c r="E11" s="2">
        <v>7</v>
      </c>
      <c r="F11" s="2" t="s">
        <v>312</v>
      </c>
      <c r="G11" s="2" t="s">
        <v>122</v>
      </c>
      <c r="H11" s="11">
        <f>SUMIFS(Val_Layers!$F$2:$F$220,Val_Layers!$A$2:$A$220,G11,Val_Layers!$B$2:$B$220,A11)</f>
        <v>0.89999999999999991</v>
      </c>
      <c r="I11" s="11">
        <f>SUMIFS(Val_Layers!$N$2:$N$220,Val_Layers!$A$2:$A$220,G11,Val_Layers!$B$2:$B$220,A11)</f>
        <v>3.1621683271275702</v>
      </c>
      <c r="J11" s="12">
        <v>0.17</v>
      </c>
      <c r="K11" s="12">
        <v>0</v>
      </c>
      <c r="L11" s="5">
        <f t="shared" si="0"/>
        <v>0.30010488721679623</v>
      </c>
      <c r="M11" s="2">
        <v>2621.1999999999998</v>
      </c>
      <c r="N11" s="2">
        <v>46</v>
      </c>
      <c r="O11" s="2">
        <v>196.9</v>
      </c>
      <c r="P11" s="2">
        <v>15</v>
      </c>
    </row>
    <row r="12" spans="1:16" x14ac:dyDescent="0.45">
      <c r="A12" s="2" t="s">
        <v>313</v>
      </c>
      <c r="B12" s="2" t="s">
        <v>311</v>
      </c>
      <c r="C12" s="10" t="s">
        <v>135</v>
      </c>
      <c r="D12" s="2" t="s">
        <v>314</v>
      </c>
      <c r="E12" s="2">
        <v>2</v>
      </c>
      <c r="F12" s="2" t="s">
        <v>315</v>
      </c>
      <c r="G12" s="2" t="s">
        <v>122</v>
      </c>
      <c r="H12" s="11">
        <f>SUMIFS(Val_Layers!$F$2:$F$220,Val_Layers!$A$2:$A$220,G12,Val_Layers!$B$2:$B$220,A12)</f>
        <v>0.25</v>
      </c>
      <c r="I12" s="11">
        <f>SUMIFS(Val_Layers!$N$2:$N$220,Val_Layers!$A$2:$A$220,G12,Val_Layers!$B$2:$B$220,A12)</f>
        <v>1.7692307692307694</v>
      </c>
      <c r="J12" s="12">
        <v>0.17</v>
      </c>
      <c r="K12" s="12">
        <v>0</v>
      </c>
      <c r="L12" s="5">
        <f t="shared" si="0"/>
        <v>0.51566838556128514</v>
      </c>
      <c r="M12" s="2">
        <v>1381.7</v>
      </c>
      <c r="N12" s="2">
        <v>1</v>
      </c>
      <c r="O12" s="2">
        <v>0</v>
      </c>
      <c r="P12" s="2">
        <v>0</v>
      </c>
    </row>
    <row r="13" spans="1:16" ht="23.25" x14ac:dyDescent="0.45">
      <c r="A13" s="2" t="s">
        <v>316</v>
      </c>
      <c r="B13" s="2" t="s">
        <v>317</v>
      </c>
      <c r="C13" s="10" t="s">
        <v>135</v>
      </c>
      <c r="D13" s="2" t="s">
        <v>289</v>
      </c>
      <c r="E13" s="2">
        <v>5</v>
      </c>
      <c r="F13" s="2" t="s">
        <v>318</v>
      </c>
      <c r="G13" s="2" t="s">
        <v>224</v>
      </c>
      <c r="H13" s="11">
        <f>SUMIFS(Val_Layers!$F$2:$F$220,Val_Layers!$A$2:$A$220,G13,Val_Layers!$B$2:$B$220,A13)</f>
        <v>0.43000000000000005</v>
      </c>
      <c r="I13" s="11">
        <f>SUMIFS(Val_Layers!$N$2:$N$220,Val_Layers!$A$2:$A$220,G13,Val_Layers!$B$2:$B$220,A13)</f>
        <v>3.1533180234399745</v>
      </c>
      <c r="J13" s="12">
        <v>0.17</v>
      </c>
      <c r="K13" s="12">
        <v>0.04</v>
      </c>
      <c r="L13" s="5">
        <f t="shared" si="0"/>
        <v>0.29732543667613331</v>
      </c>
      <c r="M13" s="2">
        <v>0</v>
      </c>
      <c r="N13" s="2">
        <v>0</v>
      </c>
      <c r="O13" s="2">
        <v>1393.3</v>
      </c>
      <c r="P13" s="2">
        <v>13</v>
      </c>
    </row>
    <row r="14" spans="1:16" ht="34.9" x14ac:dyDescent="0.45">
      <c r="A14" s="2" t="s">
        <v>319</v>
      </c>
      <c r="B14" s="2" t="s">
        <v>320</v>
      </c>
      <c r="C14" s="13" t="s">
        <v>129</v>
      </c>
      <c r="D14" s="2" t="s">
        <v>289</v>
      </c>
      <c r="E14" s="2">
        <v>6</v>
      </c>
      <c r="F14" s="2" t="s">
        <v>321</v>
      </c>
      <c r="G14" s="2" t="s">
        <v>224</v>
      </c>
      <c r="H14" s="11">
        <f>SUMIFS(Val_Layers!$F$2:$F$220,Val_Layers!$A$2:$A$220,G14,Val_Layers!$B$2:$B$220,A14)</f>
        <v>0.43500000000000005</v>
      </c>
      <c r="I14" s="11">
        <f>SUMIFS(Val_Layers!$N$2:$N$220,Val_Layers!$A$2:$A$220,G14,Val_Layers!$B$2:$B$220,A14)</f>
        <v>1.3751966873706003</v>
      </c>
      <c r="J14" s="12">
        <v>0.13</v>
      </c>
      <c r="K14" s="12">
        <v>0.13</v>
      </c>
      <c r="L14" s="5">
        <f t="shared" si="0"/>
        <v>0.61154722714611309</v>
      </c>
      <c r="M14" s="2">
        <v>0</v>
      </c>
      <c r="N14" s="2">
        <v>0</v>
      </c>
      <c r="O14" s="2">
        <v>125.2</v>
      </c>
      <c r="P14" s="2">
        <v>3</v>
      </c>
    </row>
    <row r="15" spans="1:16" ht="34.9" x14ac:dyDescent="0.45">
      <c r="A15" s="2" t="s">
        <v>322</v>
      </c>
      <c r="B15" s="2" t="s">
        <v>320</v>
      </c>
      <c r="C15" s="13" t="s">
        <v>129</v>
      </c>
      <c r="D15" s="2" t="s">
        <v>289</v>
      </c>
      <c r="E15" s="2">
        <v>7</v>
      </c>
      <c r="F15" s="2" t="s">
        <v>323</v>
      </c>
      <c r="G15" s="2" t="s">
        <v>122</v>
      </c>
      <c r="H15" s="11">
        <f>SUMIFS(Val_Layers!$F$2:$F$220,Val_Layers!$A$2:$A$220,G15,Val_Layers!$B$2:$B$220,A15)</f>
        <v>0.21500000000000002</v>
      </c>
      <c r="I15" s="11">
        <f>SUMIFS(Val_Layers!$N$2:$N$220,Val_Layers!$A$2:$A$220,G15,Val_Layers!$B$2:$B$220,A15)</f>
        <v>2.360238095238095</v>
      </c>
      <c r="J15" s="12">
        <v>0.13</v>
      </c>
      <c r="K15" s="12">
        <v>0.13</v>
      </c>
      <c r="L15" s="5">
        <f t="shared" si="0"/>
        <v>0.3816447069513858</v>
      </c>
      <c r="M15" s="2">
        <v>73</v>
      </c>
      <c r="N15" s="2">
        <v>2</v>
      </c>
      <c r="O15" s="2">
        <v>296.10000000000002</v>
      </c>
      <c r="P15" s="2">
        <v>20</v>
      </c>
    </row>
    <row r="16" spans="1:16" ht="23.25" x14ac:dyDescent="0.45">
      <c r="A16" s="2" t="s">
        <v>324</v>
      </c>
      <c r="B16" s="2" t="s">
        <v>320</v>
      </c>
      <c r="C16" s="13" t="s">
        <v>129</v>
      </c>
      <c r="D16" s="2" t="s">
        <v>289</v>
      </c>
      <c r="E16" s="2">
        <v>3</v>
      </c>
      <c r="F16" s="2" t="s">
        <v>325</v>
      </c>
      <c r="G16" s="2" t="s">
        <v>122</v>
      </c>
      <c r="H16" s="11">
        <f>SUMIFS(Val_Layers!$F$2:$F$220,Val_Layers!$A$2:$A$220,G16,Val_Layers!$B$2:$B$220,A16)</f>
        <v>0.1</v>
      </c>
      <c r="I16" s="11">
        <f>SUMIFS(Val_Layers!$N$2:$N$220,Val_Layers!$A$2:$A$220,G16,Val_Layers!$B$2:$B$220,A16)</f>
        <v>1.7726190476190475</v>
      </c>
      <c r="J16" s="12">
        <v>0.13</v>
      </c>
      <c r="K16" s="12">
        <v>0.13</v>
      </c>
      <c r="L16" s="5">
        <f t="shared" si="0"/>
        <v>0.49197610401780489</v>
      </c>
      <c r="M16" s="2">
        <v>1538.1</v>
      </c>
      <c r="N16" s="2">
        <v>135</v>
      </c>
      <c r="O16" s="2">
        <v>237.8</v>
      </c>
      <c r="P16" s="2">
        <v>14</v>
      </c>
    </row>
    <row r="17" spans="1:16" ht="34.9" x14ac:dyDescent="0.45">
      <c r="A17" s="2" t="s">
        <v>326</v>
      </c>
      <c r="B17" s="2" t="s">
        <v>320</v>
      </c>
      <c r="C17" s="13" t="s">
        <v>129</v>
      </c>
      <c r="D17" s="2" t="s">
        <v>289</v>
      </c>
      <c r="E17" s="2">
        <v>8</v>
      </c>
      <c r="F17" s="2" t="s">
        <v>327</v>
      </c>
      <c r="G17" s="2" t="s">
        <v>224</v>
      </c>
      <c r="H17" s="11">
        <f>SUMIFS(Val_Layers!$F$2:$F$220,Val_Layers!$A$2:$A$220,G17,Val_Layers!$B$2:$B$220,A17)</f>
        <v>0.23000000000000004</v>
      </c>
      <c r="I17" s="11">
        <f>SUMIFS(Val_Layers!$N$2:$N$220,Val_Layers!$A$2:$A$220,G17,Val_Layers!$B$2:$B$220,A17)</f>
        <v>2.3717765567765565</v>
      </c>
      <c r="J17" s="12">
        <v>0.13</v>
      </c>
      <c r="K17" s="12">
        <v>0.13</v>
      </c>
      <c r="L17" s="5">
        <f t="shared" si="0"/>
        <v>0.37997146734402737</v>
      </c>
      <c r="M17" s="2">
        <v>0</v>
      </c>
      <c r="N17" s="2">
        <v>0</v>
      </c>
      <c r="O17" s="2">
        <v>33.5</v>
      </c>
      <c r="P17" s="2">
        <v>2</v>
      </c>
    </row>
    <row r="18" spans="1:16" ht="34.9" x14ac:dyDescent="0.45">
      <c r="A18" s="2" t="s">
        <v>328</v>
      </c>
      <c r="B18" s="2" t="s">
        <v>320</v>
      </c>
      <c r="C18" s="13" t="s">
        <v>129</v>
      </c>
      <c r="D18" s="2" t="s">
        <v>289</v>
      </c>
      <c r="E18" s="2">
        <v>9</v>
      </c>
      <c r="F18" s="2" t="s">
        <v>329</v>
      </c>
      <c r="G18" s="2" t="s">
        <v>122</v>
      </c>
      <c r="H18" s="11">
        <f>SUMIFS(Val_Layers!$F$2:$F$220,Val_Layers!$A$2:$A$220,G18,Val_Layers!$B$2:$B$220,A18)</f>
        <v>0.245</v>
      </c>
      <c r="I18" s="11">
        <f>SUMIFS(Val_Layers!$N$2:$N$220,Val_Layers!$A$2:$A$220,G18,Val_Layers!$B$2:$B$220,A18)</f>
        <v>2.383315018315018</v>
      </c>
      <c r="J18" s="12">
        <v>0.13</v>
      </c>
      <c r="K18" s="12">
        <v>0.13</v>
      </c>
      <c r="L18" s="5">
        <f t="shared" si="0"/>
        <v>0.37831283561406553</v>
      </c>
      <c r="M18" s="2">
        <v>190.1</v>
      </c>
      <c r="N18" s="2">
        <v>16</v>
      </c>
      <c r="O18" s="2">
        <v>112.4</v>
      </c>
      <c r="P18" s="2">
        <v>7</v>
      </c>
    </row>
    <row r="19" spans="1:16" ht="23.25" x14ac:dyDescent="0.45">
      <c r="A19" s="2" t="s">
        <v>330</v>
      </c>
      <c r="B19" s="2" t="s">
        <v>320</v>
      </c>
      <c r="C19" s="13" t="s">
        <v>129</v>
      </c>
      <c r="D19" s="2" t="s">
        <v>289</v>
      </c>
      <c r="E19" s="2">
        <v>5</v>
      </c>
      <c r="F19" s="2" t="s">
        <v>331</v>
      </c>
      <c r="G19" s="2" t="s">
        <v>122</v>
      </c>
      <c r="H19" s="11">
        <f>SUMIFS(Val_Layers!$F$2:$F$220,Val_Layers!$A$2:$A$220,G19,Val_Layers!$B$2:$B$220,A19)</f>
        <v>0.15500000000000003</v>
      </c>
      <c r="I19" s="11">
        <f>SUMIFS(Val_Layers!$N$2:$N$220,Val_Layers!$A$2:$A$220,G19,Val_Layers!$B$2:$B$220,A19)</f>
        <v>1.224157509157509</v>
      </c>
      <c r="J19" s="12">
        <v>0.13</v>
      </c>
      <c r="K19" s="12">
        <v>0.13</v>
      </c>
      <c r="L19" s="5">
        <f t="shared" si="0"/>
        <v>0.67378293330042593</v>
      </c>
      <c r="M19" s="2">
        <v>295.60000000000002</v>
      </c>
      <c r="N19" s="2">
        <v>21</v>
      </c>
      <c r="O19" s="2">
        <v>85.2</v>
      </c>
      <c r="P19" s="2">
        <v>4</v>
      </c>
    </row>
  </sheetData>
  <autoFilter ref="A1:P19" xr:uid="{00000000-0009-0000-0000-000004000000}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46" customWidth="1"/>
    <col min="2" max="3" width="34" customWidth="1"/>
    <col min="4" max="4" width="9" customWidth="1"/>
    <col min="5" max="6" width="8" customWidth="1"/>
    <col min="7" max="8" width="10" customWidth="1"/>
    <col min="9" max="9" width="11" customWidth="1"/>
    <col min="10" max="11" width="10" customWidth="1"/>
    <col min="12" max="12" width="20" customWidth="1"/>
    <col min="13" max="13" width="8" customWidth="1"/>
    <col min="14" max="15" width="9" customWidth="1"/>
    <col min="16" max="16" width="8" customWidth="1"/>
    <col min="17" max="18" width="9" customWidth="1"/>
    <col min="19" max="19" width="50" customWidth="1"/>
  </cols>
  <sheetData>
    <row r="1" spans="1:19" ht="52.5" x14ac:dyDescent="0.45">
      <c r="A1" s="1" t="s">
        <v>271</v>
      </c>
      <c r="B1" s="1" t="s">
        <v>332</v>
      </c>
      <c r="C1" s="1" t="s">
        <v>333</v>
      </c>
      <c r="D1" s="1" t="s">
        <v>282</v>
      </c>
      <c r="E1" s="1" t="s">
        <v>334</v>
      </c>
      <c r="F1" s="1" t="s">
        <v>335</v>
      </c>
      <c r="G1" s="1" t="s">
        <v>336</v>
      </c>
      <c r="H1" s="1" t="s">
        <v>337</v>
      </c>
      <c r="I1" s="1" t="s">
        <v>338</v>
      </c>
      <c r="J1" s="1" t="s">
        <v>339</v>
      </c>
      <c r="K1" s="1" t="s">
        <v>340</v>
      </c>
      <c r="L1" s="1" t="s">
        <v>341</v>
      </c>
      <c r="M1" s="1" t="s">
        <v>284</v>
      </c>
      <c r="N1" s="1" t="s">
        <v>342</v>
      </c>
      <c r="O1" s="1" t="s">
        <v>343</v>
      </c>
      <c r="P1" s="1" t="s">
        <v>286</v>
      </c>
      <c r="Q1" s="1" t="s">
        <v>344</v>
      </c>
      <c r="R1" s="1" t="s">
        <v>345</v>
      </c>
      <c r="S1" s="1" t="s">
        <v>346</v>
      </c>
    </row>
    <row r="2" spans="1:19" x14ac:dyDescent="0.45">
      <c r="A2" s="2" t="s">
        <v>347</v>
      </c>
      <c r="B2" s="2" t="s">
        <v>348</v>
      </c>
      <c r="C2" s="2" t="s">
        <v>349</v>
      </c>
      <c r="D2" s="2">
        <v>0.9</v>
      </c>
      <c r="E2" s="2">
        <v>0.67</v>
      </c>
      <c r="F2" s="2">
        <v>0.8</v>
      </c>
      <c r="G2" s="2" t="s">
        <v>350</v>
      </c>
      <c r="H2" s="2">
        <v>1.1000000000000001</v>
      </c>
      <c r="I2" s="2" t="s">
        <v>351</v>
      </c>
      <c r="J2" s="2">
        <v>0.7</v>
      </c>
      <c r="K2" s="2">
        <v>0.8</v>
      </c>
      <c r="L2" s="2" t="s">
        <v>352</v>
      </c>
      <c r="M2" s="2">
        <v>1</v>
      </c>
      <c r="N2" s="2">
        <v>3.8</v>
      </c>
      <c r="O2" s="2">
        <v>0</v>
      </c>
      <c r="P2" s="2">
        <v>2</v>
      </c>
      <c r="Q2" s="2">
        <v>23</v>
      </c>
      <c r="R2" s="2">
        <v>1</v>
      </c>
      <c r="S2" s="2"/>
    </row>
    <row r="3" spans="1:19" ht="23.25" x14ac:dyDescent="0.45">
      <c r="A3" s="2" t="s">
        <v>353</v>
      </c>
      <c r="B3" s="2" t="s">
        <v>354</v>
      </c>
      <c r="C3" s="2" t="s">
        <v>349</v>
      </c>
      <c r="D3" s="2">
        <v>0.9</v>
      </c>
      <c r="E3" s="2">
        <v>0.67</v>
      </c>
      <c r="F3" s="2">
        <v>0.8</v>
      </c>
      <c r="G3" s="2" t="s">
        <v>350</v>
      </c>
      <c r="H3" s="2">
        <v>1.1000000000000001</v>
      </c>
      <c r="I3" s="2" t="s">
        <v>351</v>
      </c>
      <c r="J3" s="2">
        <v>0.7</v>
      </c>
      <c r="K3" s="2">
        <v>0.8</v>
      </c>
      <c r="L3" s="2" t="s">
        <v>355</v>
      </c>
      <c r="M3" s="2">
        <v>31</v>
      </c>
      <c r="N3" s="2">
        <v>1061</v>
      </c>
      <c r="O3" s="2">
        <v>11</v>
      </c>
      <c r="P3" s="2">
        <v>12</v>
      </c>
      <c r="Q3" s="2">
        <v>611.29999999999995</v>
      </c>
      <c r="R3" s="2">
        <v>1</v>
      </c>
      <c r="S3" s="2"/>
    </row>
    <row r="4" spans="1:19" x14ac:dyDescent="0.45">
      <c r="A4" s="2" t="s">
        <v>356</v>
      </c>
      <c r="B4" s="2" t="s">
        <v>348</v>
      </c>
      <c r="C4" s="2" t="s">
        <v>349</v>
      </c>
      <c r="D4" s="2">
        <v>0.9</v>
      </c>
      <c r="E4" s="2">
        <v>0.67</v>
      </c>
      <c r="F4" s="2">
        <v>0.57999999999999996</v>
      </c>
      <c r="G4" s="2" t="s">
        <v>350</v>
      </c>
      <c r="H4" s="2">
        <v>1.1000000000000001</v>
      </c>
      <c r="I4" s="2" t="s">
        <v>351</v>
      </c>
      <c r="J4" s="2">
        <v>0.7</v>
      </c>
      <c r="K4" s="2">
        <v>0.8</v>
      </c>
      <c r="L4" s="2" t="s">
        <v>352</v>
      </c>
      <c r="M4" s="2">
        <v>0</v>
      </c>
      <c r="N4" s="2">
        <v>0</v>
      </c>
      <c r="O4" s="2">
        <v>0</v>
      </c>
      <c r="P4" s="2">
        <v>2</v>
      </c>
      <c r="Q4" s="2">
        <v>7.6</v>
      </c>
      <c r="R4" s="2">
        <v>0</v>
      </c>
      <c r="S4" s="2"/>
    </row>
    <row r="5" spans="1:19" ht="34.9" x14ac:dyDescent="0.45">
      <c r="A5" s="2" t="s">
        <v>357</v>
      </c>
      <c r="B5" s="2" t="s">
        <v>354</v>
      </c>
      <c r="C5" s="2" t="s">
        <v>349</v>
      </c>
      <c r="D5" s="2">
        <v>0.9</v>
      </c>
      <c r="E5" s="2">
        <v>0.67</v>
      </c>
      <c r="F5" s="2">
        <v>0.57999999999999996</v>
      </c>
      <c r="G5" s="2" t="s">
        <v>350</v>
      </c>
      <c r="H5" s="2">
        <v>1.1000000000000001</v>
      </c>
      <c r="I5" s="2" t="s">
        <v>351</v>
      </c>
      <c r="J5" s="2">
        <v>0.7</v>
      </c>
      <c r="K5" s="2">
        <v>0.8</v>
      </c>
      <c r="L5" s="2" t="s">
        <v>355</v>
      </c>
      <c r="M5" s="2">
        <v>23</v>
      </c>
      <c r="N5" s="2">
        <v>841.5</v>
      </c>
      <c r="O5" s="2">
        <v>0</v>
      </c>
      <c r="P5" s="2">
        <v>9</v>
      </c>
      <c r="Q5" s="2">
        <v>478.8</v>
      </c>
      <c r="R5" s="2">
        <v>2</v>
      </c>
      <c r="S5" s="2" t="s">
        <v>358</v>
      </c>
    </row>
  </sheetData>
  <autoFilter ref="A1:S5" xr:uid="{00000000-0009-0000-0000-000005000000}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3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6" customWidth="1"/>
    <col min="2" max="2" width="8" customWidth="1"/>
    <col min="3" max="3" width="22" customWidth="1"/>
    <col min="4" max="4" width="12" customWidth="1"/>
    <col min="5" max="5" width="30" customWidth="1"/>
    <col min="6" max="6" width="10" customWidth="1"/>
    <col min="7" max="7" width="11" customWidth="1"/>
    <col min="8" max="8" width="30" customWidth="1"/>
    <col min="9" max="9" width="16" customWidth="1"/>
    <col min="10" max="10" width="9" customWidth="1"/>
    <col min="11" max="11" width="26" customWidth="1"/>
    <col min="12" max="12" width="16" customWidth="1"/>
    <col min="13" max="14" width="26" customWidth="1"/>
    <col min="15" max="15" width="30" customWidth="1"/>
    <col min="16" max="16" width="10" customWidth="1"/>
    <col min="17" max="17" width="22" customWidth="1"/>
    <col min="18" max="18" width="24" customWidth="1"/>
    <col min="19" max="19" width="8" customWidth="1"/>
    <col min="20" max="20" width="30" customWidth="1"/>
    <col min="21" max="24" width="26" customWidth="1"/>
    <col min="25" max="25" width="40" customWidth="1"/>
  </cols>
  <sheetData>
    <row r="1" spans="1:25" ht="26.25" x14ac:dyDescent="0.45">
      <c r="A1" s="1" t="s">
        <v>359</v>
      </c>
      <c r="B1" s="1" t="s">
        <v>360</v>
      </c>
      <c r="C1" s="1" t="s">
        <v>361</v>
      </c>
      <c r="D1" s="1" t="s">
        <v>362</v>
      </c>
      <c r="E1" s="1" t="s">
        <v>363</v>
      </c>
      <c r="F1" s="1" t="s">
        <v>364</v>
      </c>
      <c r="G1" s="1" t="s">
        <v>365</v>
      </c>
      <c r="H1" s="1" t="s">
        <v>366</v>
      </c>
      <c r="I1" s="1" t="s">
        <v>367</v>
      </c>
      <c r="J1" s="1" t="s">
        <v>368</v>
      </c>
      <c r="K1" s="1" t="s">
        <v>369</v>
      </c>
      <c r="L1" s="1" t="s">
        <v>370</v>
      </c>
      <c r="M1" s="1" t="s">
        <v>371</v>
      </c>
      <c r="N1" s="1" t="s">
        <v>372</v>
      </c>
      <c r="O1" s="1" t="s">
        <v>373</v>
      </c>
      <c r="P1" s="1" t="s">
        <v>374</v>
      </c>
      <c r="Q1" s="1" t="s">
        <v>375</v>
      </c>
      <c r="R1" s="1" t="s">
        <v>376</v>
      </c>
      <c r="S1" s="1" t="s">
        <v>377</v>
      </c>
      <c r="T1" s="1" t="s">
        <v>378</v>
      </c>
      <c r="U1" s="1" t="s">
        <v>379</v>
      </c>
      <c r="V1" s="1" t="s">
        <v>380</v>
      </c>
      <c r="W1" s="1" t="s">
        <v>381</v>
      </c>
      <c r="X1" s="1" t="s">
        <v>382</v>
      </c>
      <c r="Y1" s="1" t="s">
        <v>383</v>
      </c>
    </row>
    <row r="2" spans="1:25" ht="290.64999999999998" x14ac:dyDescent="0.45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s="2" t="s">
        <v>390</v>
      </c>
      <c r="H2" s="2" t="s">
        <v>388</v>
      </c>
      <c r="I2" s="2" t="s">
        <v>391</v>
      </c>
      <c r="J2" s="2" t="s">
        <v>392</v>
      </c>
      <c r="K2" s="2" t="s">
        <v>393</v>
      </c>
      <c r="L2" s="2" t="s">
        <v>394</v>
      </c>
      <c r="M2" s="2" t="s">
        <v>395</v>
      </c>
      <c r="N2" s="2" t="s">
        <v>396</v>
      </c>
      <c r="O2" s="2" t="s">
        <v>397</v>
      </c>
      <c r="P2" s="2" t="s">
        <v>93</v>
      </c>
      <c r="Q2" s="2" t="s">
        <v>398</v>
      </c>
      <c r="R2" s="2" t="s">
        <v>399</v>
      </c>
      <c r="S2" s="13" t="s">
        <v>129</v>
      </c>
      <c r="T2" s="2" t="s">
        <v>400</v>
      </c>
      <c r="U2" s="2" t="s">
        <v>401</v>
      </c>
      <c r="V2" s="2" t="s">
        <v>402</v>
      </c>
      <c r="W2" s="2" t="s">
        <v>403</v>
      </c>
      <c r="X2" s="2" t="s">
        <v>403</v>
      </c>
      <c r="Y2" s="2" t="s">
        <v>404</v>
      </c>
    </row>
    <row r="3" spans="1:25" ht="23.25" x14ac:dyDescent="0.45">
      <c r="A3" s="2" t="s">
        <v>405</v>
      </c>
      <c r="B3" s="2" t="s">
        <v>385</v>
      </c>
      <c r="C3" s="2" t="s">
        <v>406</v>
      </c>
      <c r="D3" s="2" t="s">
        <v>387</v>
      </c>
      <c r="E3" s="2" t="s">
        <v>407</v>
      </c>
      <c r="F3" s="2" t="s">
        <v>389</v>
      </c>
      <c r="G3" s="2" t="s">
        <v>390</v>
      </c>
      <c r="H3" s="2" t="s">
        <v>407</v>
      </c>
      <c r="I3" s="2" t="s">
        <v>391</v>
      </c>
      <c r="J3" s="2" t="s">
        <v>408</v>
      </c>
      <c r="K3" s="2" t="s">
        <v>409</v>
      </c>
      <c r="L3" s="2" t="s">
        <v>93</v>
      </c>
      <c r="M3" s="2" t="s">
        <v>93</v>
      </c>
      <c r="N3" s="2" t="s">
        <v>93</v>
      </c>
      <c r="O3" s="2" t="s">
        <v>93</v>
      </c>
      <c r="P3" s="2" t="s">
        <v>93</v>
      </c>
      <c r="Q3" s="2" t="s">
        <v>398</v>
      </c>
      <c r="R3" s="2" t="s">
        <v>410</v>
      </c>
      <c r="S3" s="13" t="s">
        <v>129</v>
      </c>
      <c r="T3" s="2" t="s">
        <v>411</v>
      </c>
      <c r="U3" s="2" t="s">
        <v>412</v>
      </c>
      <c r="V3" s="2" t="s">
        <v>412</v>
      </c>
      <c r="W3" s="2" t="s">
        <v>93</v>
      </c>
      <c r="X3" s="2" t="s">
        <v>93</v>
      </c>
      <c r="Y3" s="2" t="s">
        <v>413</v>
      </c>
    </row>
    <row r="4" spans="1:25" ht="23.25" x14ac:dyDescent="0.45">
      <c r="A4" s="2" t="s">
        <v>414</v>
      </c>
      <c r="B4" s="2" t="s">
        <v>385</v>
      </c>
      <c r="C4" s="2" t="s">
        <v>415</v>
      </c>
      <c r="D4" s="2" t="s">
        <v>387</v>
      </c>
      <c r="E4" s="2" t="s">
        <v>416</v>
      </c>
      <c r="F4" s="2" t="s">
        <v>389</v>
      </c>
      <c r="G4" s="2" t="s">
        <v>390</v>
      </c>
      <c r="H4" s="2" t="s">
        <v>416</v>
      </c>
      <c r="I4" s="2" t="s">
        <v>391</v>
      </c>
      <c r="J4" s="2" t="s">
        <v>408</v>
      </c>
      <c r="K4" s="2" t="s">
        <v>409</v>
      </c>
      <c r="L4" s="2" t="s">
        <v>93</v>
      </c>
      <c r="M4" s="2" t="s">
        <v>93</v>
      </c>
      <c r="N4" s="2" t="s">
        <v>93</v>
      </c>
      <c r="O4" s="2" t="s">
        <v>93</v>
      </c>
      <c r="P4" s="2" t="s">
        <v>93</v>
      </c>
      <c r="Q4" s="2" t="s">
        <v>398</v>
      </c>
      <c r="R4" s="2" t="s">
        <v>410</v>
      </c>
      <c r="S4" s="13" t="s">
        <v>129</v>
      </c>
      <c r="T4" s="2" t="s">
        <v>411</v>
      </c>
      <c r="U4" s="2" t="s">
        <v>412</v>
      </c>
      <c r="V4" s="2" t="s">
        <v>412</v>
      </c>
      <c r="W4" s="2" t="s">
        <v>93</v>
      </c>
      <c r="X4" s="2" t="s">
        <v>93</v>
      </c>
      <c r="Y4" s="2" t="s">
        <v>417</v>
      </c>
    </row>
    <row r="5" spans="1:25" ht="23.25" x14ac:dyDescent="0.45">
      <c r="A5" s="2" t="s">
        <v>418</v>
      </c>
      <c r="B5" s="2" t="s">
        <v>385</v>
      </c>
      <c r="C5" s="2" t="s">
        <v>419</v>
      </c>
      <c r="D5" s="2" t="s">
        <v>387</v>
      </c>
      <c r="E5" s="2" t="s">
        <v>420</v>
      </c>
      <c r="F5" s="2" t="s">
        <v>389</v>
      </c>
      <c r="G5" s="2" t="s">
        <v>390</v>
      </c>
      <c r="H5" s="2" t="s">
        <v>420</v>
      </c>
      <c r="I5" s="2" t="s">
        <v>391</v>
      </c>
      <c r="J5" s="2" t="s">
        <v>408</v>
      </c>
      <c r="K5" s="2" t="s">
        <v>409</v>
      </c>
      <c r="L5" s="2" t="s">
        <v>93</v>
      </c>
      <c r="M5" s="2" t="s">
        <v>93</v>
      </c>
      <c r="N5" s="2" t="s">
        <v>93</v>
      </c>
      <c r="O5" s="2" t="s">
        <v>93</v>
      </c>
      <c r="P5" s="2" t="s">
        <v>93</v>
      </c>
      <c r="Q5" s="2" t="s">
        <v>398</v>
      </c>
      <c r="R5" s="2" t="s">
        <v>410</v>
      </c>
      <c r="S5" s="13" t="s">
        <v>129</v>
      </c>
      <c r="T5" s="2" t="s">
        <v>411</v>
      </c>
      <c r="U5" s="2" t="s">
        <v>412</v>
      </c>
      <c r="V5" s="2" t="s">
        <v>412</v>
      </c>
      <c r="W5" s="2" t="s">
        <v>93</v>
      </c>
      <c r="X5" s="2" t="s">
        <v>93</v>
      </c>
      <c r="Y5" s="2" t="s">
        <v>421</v>
      </c>
    </row>
    <row r="6" spans="1:25" ht="23.25" x14ac:dyDescent="0.45">
      <c r="A6" s="2" t="s">
        <v>422</v>
      </c>
      <c r="B6" s="2" t="s">
        <v>385</v>
      </c>
      <c r="C6" s="2" t="s">
        <v>423</v>
      </c>
      <c r="D6" s="2" t="s">
        <v>387</v>
      </c>
      <c r="E6" s="2" t="s">
        <v>424</v>
      </c>
      <c r="F6" s="2" t="s">
        <v>389</v>
      </c>
      <c r="G6" s="2" t="s">
        <v>390</v>
      </c>
      <c r="H6" s="2" t="s">
        <v>424</v>
      </c>
      <c r="I6" s="2" t="s">
        <v>391</v>
      </c>
      <c r="J6" s="2" t="s">
        <v>408</v>
      </c>
      <c r="K6" s="2" t="s">
        <v>425</v>
      </c>
      <c r="L6" s="2" t="s">
        <v>93</v>
      </c>
      <c r="M6" s="2" t="s">
        <v>93</v>
      </c>
      <c r="N6" s="2" t="s">
        <v>93</v>
      </c>
      <c r="O6" s="2" t="s">
        <v>93</v>
      </c>
      <c r="P6" s="2" t="s">
        <v>93</v>
      </c>
      <c r="Q6" s="2" t="s">
        <v>398</v>
      </c>
      <c r="R6" s="2" t="s">
        <v>93</v>
      </c>
      <c r="S6" s="13" t="s">
        <v>129</v>
      </c>
      <c r="T6" s="2" t="s">
        <v>426</v>
      </c>
      <c r="U6" s="2" t="s">
        <v>412</v>
      </c>
      <c r="V6" s="2" t="s">
        <v>412</v>
      </c>
      <c r="W6" s="2" t="s">
        <v>93</v>
      </c>
      <c r="X6" s="2" t="s">
        <v>93</v>
      </c>
      <c r="Y6" s="2" t="s">
        <v>427</v>
      </c>
    </row>
    <row r="7" spans="1:25" ht="23.25" x14ac:dyDescent="0.45">
      <c r="A7" s="2" t="s">
        <v>428</v>
      </c>
      <c r="B7" s="2" t="s">
        <v>385</v>
      </c>
      <c r="C7" s="2" t="s">
        <v>429</v>
      </c>
      <c r="D7" s="2" t="s">
        <v>387</v>
      </c>
      <c r="E7" s="2" t="s">
        <v>430</v>
      </c>
      <c r="F7" s="2" t="s">
        <v>389</v>
      </c>
      <c r="G7" s="2" t="s">
        <v>390</v>
      </c>
      <c r="H7" s="2" t="s">
        <v>430</v>
      </c>
      <c r="I7" s="2" t="s">
        <v>431</v>
      </c>
      <c r="J7" s="2" t="s">
        <v>408</v>
      </c>
      <c r="K7" s="2" t="s">
        <v>93</v>
      </c>
      <c r="L7" s="2" t="s">
        <v>93</v>
      </c>
      <c r="M7" s="2" t="s">
        <v>93</v>
      </c>
      <c r="N7" s="2" t="s">
        <v>93</v>
      </c>
      <c r="O7" s="2" t="s">
        <v>93</v>
      </c>
      <c r="P7" s="2" t="s">
        <v>93</v>
      </c>
      <c r="Q7" s="2" t="s">
        <v>93</v>
      </c>
      <c r="R7" s="2" t="s">
        <v>93</v>
      </c>
      <c r="S7" s="13" t="s">
        <v>129</v>
      </c>
      <c r="T7" s="2" t="s">
        <v>93</v>
      </c>
      <c r="U7" s="2" t="s">
        <v>410</v>
      </c>
      <c r="V7" s="2" t="s">
        <v>412</v>
      </c>
      <c r="W7" s="2" t="s">
        <v>93</v>
      </c>
      <c r="X7" s="2" t="s">
        <v>93</v>
      </c>
      <c r="Y7" s="2" t="s">
        <v>432</v>
      </c>
    </row>
    <row r="8" spans="1:25" ht="23.25" x14ac:dyDescent="0.45">
      <c r="A8" s="2" t="s">
        <v>433</v>
      </c>
      <c r="B8" s="2" t="s">
        <v>385</v>
      </c>
      <c r="C8" s="2" t="s">
        <v>434</v>
      </c>
      <c r="D8" s="2" t="s">
        <v>387</v>
      </c>
      <c r="E8" s="2" t="s">
        <v>435</v>
      </c>
      <c r="F8" s="2" t="s">
        <v>389</v>
      </c>
      <c r="G8" s="2" t="s">
        <v>390</v>
      </c>
      <c r="H8" s="2" t="s">
        <v>435</v>
      </c>
      <c r="I8" s="2" t="s">
        <v>431</v>
      </c>
      <c r="J8" s="2" t="s">
        <v>408</v>
      </c>
      <c r="K8" s="2" t="s">
        <v>93</v>
      </c>
      <c r="L8" s="2" t="s">
        <v>93</v>
      </c>
      <c r="M8" s="2" t="s">
        <v>93</v>
      </c>
      <c r="N8" s="2" t="s">
        <v>93</v>
      </c>
      <c r="O8" s="2" t="s">
        <v>93</v>
      </c>
      <c r="P8" s="2" t="s">
        <v>93</v>
      </c>
      <c r="Q8" s="2" t="s">
        <v>93</v>
      </c>
      <c r="R8" s="2" t="s">
        <v>93</v>
      </c>
      <c r="S8" s="13" t="s">
        <v>129</v>
      </c>
      <c r="T8" s="2" t="s">
        <v>93</v>
      </c>
      <c r="U8" s="2" t="s">
        <v>436</v>
      </c>
      <c r="V8" s="2" t="s">
        <v>436</v>
      </c>
      <c r="W8" s="2" t="s">
        <v>93</v>
      </c>
      <c r="X8" s="2" t="s">
        <v>93</v>
      </c>
      <c r="Y8" s="2"/>
    </row>
    <row r="9" spans="1:25" ht="34.9" x14ac:dyDescent="0.45">
      <c r="A9" s="2" t="s">
        <v>437</v>
      </c>
      <c r="B9" s="2" t="s">
        <v>385</v>
      </c>
      <c r="C9" s="2" t="s">
        <v>438</v>
      </c>
      <c r="D9" s="2" t="s">
        <v>387</v>
      </c>
      <c r="E9" s="2" t="s">
        <v>439</v>
      </c>
      <c r="F9" s="2" t="s">
        <v>389</v>
      </c>
      <c r="G9" s="2" t="s">
        <v>390</v>
      </c>
      <c r="H9" s="2" t="s">
        <v>439</v>
      </c>
      <c r="I9" s="2" t="s">
        <v>431</v>
      </c>
      <c r="J9" s="2" t="s">
        <v>440</v>
      </c>
      <c r="K9" s="2" t="s">
        <v>93</v>
      </c>
      <c r="L9" s="2" t="s">
        <v>93</v>
      </c>
      <c r="M9" s="2" t="s">
        <v>93</v>
      </c>
      <c r="N9" s="2" t="s">
        <v>441</v>
      </c>
      <c r="O9" s="2" t="s">
        <v>442</v>
      </c>
      <c r="P9" s="2" t="s">
        <v>443</v>
      </c>
      <c r="Q9" s="2" t="s">
        <v>398</v>
      </c>
      <c r="R9" s="2" t="s">
        <v>93</v>
      </c>
      <c r="S9" s="13" t="s">
        <v>129</v>
      </c>
      <c r="T9" s="2" t="s">
        <v>444</v>
      </c>
      <c r="U9" s="2" t="s">
        <v>445</v>
      </c>
      <c r="V9" s="2" t="s">
        <v>446</v>
      </c>
      <c r="W9" s="2" t="s">
        <v>447</v>
      </c>
      <c r="X9" s="2" t="s">
        <v>448</v>
      </c>
      <c r="Y9" s="2" t="s">
        <v>449</v>
      </c>
    </row>
    <row r="10" spans="1:25" ht="46.5" x14ac:dyDescent="0.45">
      <c r="A10" s="2" t="s">
        <v>450</v>
      </c>
      <c r="B10" s="2" t="s">
        <v>385</v>
      </c>
      <c r="C10" s="2" t="s">
        <v>451</v>
      </c>
      <c r="D10" s="2" t="s">
        <v>387</v>
      </c>
      <c r="E10" s="2" t="s">
        <v>452</v>
      </c>
      <c r="F10" s="2" t="s">
        <v>389</v>
      </c>
      <c r="G10" s="2" t="s">
        <v>390</v>
      </c>
      <c r="H10" s="2" t="s">
        <v>452</v>
      </c>
      <c r="I10" s="2" t="s">
        <v>391</v>
      </c>
      <c r="J10" s="2" t="s">
        <v>453</v>
      </c>
      <c r="K10" s="2" t="s">
        <v>454</v>
      </c>
      <c r="L10" s="2" t="s">
        <v>455</v>
      </c>
      <c r="M10" s="2" t="s">
        <v>456</v>
      </c>
      <c r="N10" s="2" t="s">
        <v>441</v>
      </c>
      <c r="O10" s="2" t="s">
        <v>457</v>
      </c>
      <c r="P10" s="2" t="s">
        <v>453</v>
      </c>
      <c r="Q10" s="2" t="s">
        <v>458</v>
      </c>
      <c r="R10" s="2" t="s">
        <v>410</v>
      </c>
      <c r="S10" s="10" t="s">
        <v>135</v>
      </c>
      <c r="T10" s="2" t="s">
        <v>444</v>
      </c>
      <c r="U10" s="2" t="s">
        <v>459</v>
      </c>
      <c r="V10" s="2" t="s">
        <v>460</v>
      </c>
      <c r="W10" s="2" t="s">
        <v>461</v>
      </c>
      <c r="X10" s="2" t="s">
        <v>461</v>
      </c>
      <c r="Y10" s="2" t="s">
        <v>462</v>
      </c>
    </row>
    <row r="11" spans="1:25" ht="23.25" x14ac:dyDescent="0.45">
      <c r="A11" s="2" t="s">
        <v>463</v>
      </c>
      <c r="B11" s="2" t="s">
        <v>385</v>
      </c>
      <c r="C11" s="2" t="s">
        <v>464</v>
      </c>
      <c r="D11" s="2" t="s">
        <v>93</v>
      </c>
      <c r="E11" s="2" t="s">
        <v>465</v>
      </c>
      <c r="F11" s="2" t="s">
        <v>93</v>
      </c>
      <c r="G11" s="2" t="s">
        <v>93</v>
      </c>
      <c r="H11" s="2" t="s">
        <v>93</v>
      </c>
      <c r="I11" s="2" t="s">
        <v>93</v>
      </c>
      <c r="J11" s="2" t="s">
        <v>443</v>
      </c>
      <c r="K11" s="2" t="s">
        <v>93</v>
      </c>
      <c r="L11" s="2" t="s">
        <v>93</v>
      </c>
      <c r="M11" s="2" t="s">
        <v>93</v>
      </c>
      <c r="N11" s="2" t="s">
        <v>441</v>
      </c>
      <c r="O11" s="2" t="s">
        <v>466</v>
      </c>
      <c r="P11" s="2" t="s">
        <v>443</v>
      </c>
      <c r="Q11" s="2" t="s">
        <v>93</v>
      </c>
      <c r="R11" s="2" t="s">
        <v>93</v>
      </c>
      <c r="S11" s="13" t="s">
        <v>129</v>
      </c>
      <c r="T11" s="2" t="s">
        <v>93</v>
      </c>
      <c r="U11" s="2" t="s">
        <v>93</v>
      </c>
      <c r="V11" s="2" t="s">
        <v>93</v>
      </c>
      <c r="W11" s="2" t="s">
        <v>467</v>
      </c>
      <c r="X11" s="2" t="s">
        <v>448</v>
      </c>
      <c r="Y11" s="2" t="s">
        <v>468</v>
      </c>
    </row>
    <row r="12" spans="1:25" ht="46.5" x14ac:dyDescent="0.45">
      <c r="A12" s="2" t="s">
        <v>469</v>
      </c>
      <c r="B12" s="2" t="s">
        <v>385</v>
      </c>
      <c r="C12" s="2" t="s">
        <v>470</v>
      </c>
      <c r="D12" s="2" t="s">
        <v>387</v>
      </c>
      <c r="E12" s="2" t="s">
        <v>471</v>
      </c>
      <c r="F12" s="2" t="s">
        <v>389</v>
      </c>
      <c r="G12" s="2" t="s">
        <v>390</v>
      </c>
      <c r="H12" s="2" t="s">
        <v>471</v>
      </c>
      <c r="I12" s="2" t="s">
        <v>391</v>
      </c>
      <c r="J12" s="2" t="s">
        <v>453</v>
      </c>
      <c r="K12" s="2" t="s">
        <v>454</v>
      </c>
      <c r="L12" s="2" t="s">
        <v>472</v>
      </c>
      <c r="M12" s="2" t="s">
        <v>473</v>
      </c>
      <c r="N12" s="2" t="s">
        <v>474</v>
      </c>
      <c r="O12" s="2" t="s">
        <v>475</v>
      </c>
      <c r="P12" s="2" t="s">
        <v>453</v>
      </c>
      <c r="Q12" s="2" t="s">
        <v>458</v>
      </c>
      <c r="R12" s="2" t="s">
        <v>476</v>
      </c>
      <c r="S12" s="14" t="s">
        <v>477</v>
      </c>
      <c r="T12" s="2" t="s">
        <v>444</v>
      </c>
      <c r="U12" s="2" t="s">
        <v>478</v>
      </c>
      <c r="V12" s="2" t="s">
        <v>479</v>
      </c>
      <c r="W12" s="2" t="s">
        <v>480</v>
      </c>
      <c r="X12" s="2" t="s">
        <v>481</v>
      </c>
      <c r="Y12" s="2" t="s">
        <v>482</v>
      </c>
    </row>
    <row r="13" spans="1:25" ht="34.9" x14ac:dyDescent="0.45">
      <c r="A13" s="2" t="s">
        <v>483</v>
      </c>
      <c r="B13" s="2" t="s">
        <v>385</v>
      </c>
      <c r="C13" s="2" t="s">
        <v>484</v>
      </c>
      <c r="D13" s="2" t="s">
        <v>387</v>
      </c>
      <c r="E13" s="2" t="s">
        <v>485</v>
      </c>
      <c r="F13" s="2" t="s">
        <v>389</v>
      </c>
      <c r="G13" s="2" t="s">
        <v>390</v>
      </c>
      <c r="H13" s="2" t="s">
        <v>485</v>
      </c>
      <c r="I13" s="2" t="s">
        <v>391</v>
      </c>
      <c r="J13" s="2" t="s">
        <v>486</v>
      </c>
      <c r="K13" s="2" t="s">
        <v>454</v>
      </c>
      <c r="L13" s="2" t="s">
        <v>487</v>
      </c>
      <c r="M13" s="2" t="s">
        <v>488</v>
      </c>
      <c r="N13" s="2" t="s">
        <v>489</v>
      </c>
      <c r="O13" s="2" t="s">
        <v>490</v>
      </c>
      <c r="P13" s="2" t="s">
        <v>491</v>
      </c>
      <c r="Q13" s="2" t="s">
        <v>458</v>
      </c>
      <c r="R13" s="2" t="s">
        <v>410</v>
      </c>
      <c r="S13" s="10" t="s">
        <v>135</v>
      </c>
      <c r="T13" s="2" t="s">
        <v>444</v>
      </c>
      <c r="U13" s="2" t="s">
        <v>492</v>
      </c>
      <c r="V13" s="2" t="s">
        <v>493</v>
      </c>
      <c r="W13" s="2" t="s">
        <v>494</v>
      </c>
      <c r="X13" s="2" t="s">
        <v>494</v>
      </c>
      <c r="Y13" s="2" t="s">
        <v>495</v>
      </c>
    </row>
    <row r="14" spans="1:25" ht="23.25" x14ac:dyDescent="0.45">
      <c r="A14" s="2" t="s">
        <v>496</v>
      </c>
      <c r="B14" s="2" t="s">
        <v>385</v>
      </c>
      <c r="C14" s="2" t="s">
        <v>497</v>
      </c>
      <c r="D14" s="2" t="s">
        <v>387</v>
      </c>
      <c r="E14" s="2" t="s">
        <v>498</v>
      </c>
      <c r="F14" s="2" t="s">
        <v>389</v>
      </c>
      <c r="G14" s="2" t="s">
        <v>390</v>
      </c>
      <c r="H14" s="2" t="s">
        <v>498</v>
      </c>
      <c r="I14" s="2" t="s">
        <v>391</v>
      </c>
      <c r="J14" s="2" t="s">
        <v>486</v>
      </c>
      <c r="K14" s="2" t="s">
        <v>499</v>
      </c>
      <c r="L14" s="2" t="s">
        <v>93</v>
      </c>
      <c r="M14" s="2" t="s">
        <v>93</v>
      </c>
      <c r="N14" s="2" t="s">
        <v>93</v>
      </c>
      <c r="O14" s="2" t="s">
        <v>93</v>
      </c>
      <c r="P14" s="2" t="s">
        <v>93</v>
      </c>
      <c r="Q14" s="2" t="s">
        <v>398</v>
      </c>
      <c r="R14" s="2" t="s">
        <v>410</v>
      </c>
      <c r="S14" s="13" t="s">
        <v>129</v>
      </c>
      <c r="T14" s="2" t="s">
        <v>426</v>
      </c>
      <c r="U14" s="2" t="s">
        <v>500</v>
      </c>
      <c r="V14" s="2" t="s">
        <v>501</v>
      </c>
      <c r="W14" s="2" t="s">
        <v>93</v>
      </c>
      <c r="X14" s="2" t="s">
        <v>93</v>
      </c>
      <c r="Y14" s="2" t="s">
        <v>502</v>
      </c>
    </row>
    <row r="15" spans="1:25" ht="23.25" x14ac:dyDescent="0.45">
      <c r="A15" s="2" t="s">
        <v>503</v>
      </c>
      <c r="B15" s="2" t="s">
        <v>385</v>
      </c>
      <c r="C15" s="2" t="s">
        <v>504</v>
      </c>
      <c r="D15" s="2" t="s">
        <v>387</v>
      </c>
      <c r="E15" s="2" t="s">
        <v>505</v>
      </c>
      <c r="F15" s="2" t="s">
        <v>389</v>
      </c>
      <c r="G15" s="2" t="s">
        <v>390</v>
      </c>
      <c r="H15" s="2" t="s">
        <v>506</v>
      </c>
      <c r="I15" s="2" t="s">
        <v>431</v>
      </c>
      <c r="J15" s="2" t="s">
        <v>507</v>
      </c>
      <c r="K15" s="2" t="s">
        <v>93</v>
      </c>
      <c r="L15" s="2" t="s">
        <v>93</v>
      </c>
      <c r="M15" s="2" t="s">
        <v>93</v>
      </c>
      <c r="N15" s="2" t="s">
        <v>93</v>
      </c>
      <c r="O15" s="2" t="s">
        <v>93</v>
      </c>
      <c r="P15" s="2" t="s">
        <v>93</v>
      </c>
      <c r="Q15" s="2" t="s">
        <v>93</v>
      </c>
      <c r="R15" s="2" t="s">
        <v>93</v>
      </c>
      <c r="S15" s="13" t="s">
        <v>129</v>
      </c>
      <c r="T15" s="2" t="s">
        <v>93</v>
      </c>
      <c r="U15" s="2" t="s">
        <v>508</v>
      </c>
      <c r="V15" s="2" t="s">
        <v>509</v>
      </c>
      <c r="W15" s="2" t="s">
        <v>93</v>
      </c>
      <c r="X15" s="2" t="s">
        <v>93</v>
      </c>
      <c r="Y15" s="2" t="s">
        <v>510</v>
      </c>
    </row>
    <row r="16" spans="1:25" ht="81.400000000000006" x14ac:dyDescent="0.45">
      <c r="A16" s="2" t="s">
        <v>511</v>
      </c>
      <c r="B16" s="2" t="s">
        <v>385</v>
      </c>
      <c r="C16" s="2" t="s">
        <v>512</v>
      </c>
      <c r="D16" s="2" t="s">
        <v>387</v>
      </c>
      <c r="E16" s="2" t="s">
        <v>513</v>
      </c>
      <c r="F16" s="2" t="s">
        <v>389</v>
      </c>
      <c r="G16" s="2" t="s">
        <v>390</v>
      </c>
      <c r="H16" s="2" t="s">
        <v>513</v>
      </c>
      <c r="I16" s="2" t="s">
        <v>391</v>
      </c>
      <c r="J16" s="2" t="s">
        <v>514</v>
      </c>
      <c r="K16" s="2" t="s">
        <v>515</v>
      </c>
      <c r="L16" s="2" t="s">
        <v>516</v>
      </c>
      <c r="M16" s="2" t="s">
        <v>517</v>
      </c>
      <c r="N16" s="2" t="s">
        <v>518</v>
      </c>
      <c r="O16" s="2" t="s">
        <v>519</v>
      </c>
      <c r="P16" s="2" t="s">
        <v>520</v>
      </c>
      <c r="Q16" s="2" t="s">
        <v>521</v>
      </c>
      <c r="R16" s="2" t="s">
        <v>410</v>
      </c>
      <c r="S16" s="10" t="s">
        <v>135</v>
      </c>
      <c r="T16" s="2" t="s">
        <v>444</v>
      </c>
      <c r="U16" s="2" t="s">
        <v>522</v>
      </c>
      <c r="V16" s="2" t="s">
        <v>523</v>
      </c>
      <c r="W16" s="2" t="s">
        <v>524</v>
      </c>
      <c r="X16" s="2" t="s">
        <v>524</v>
      </c>
      <c r="Y16" s="2" t="s">
        <v>525</v>
      </c>
    </row>
    <row r="17" spans="1:25" ht="46.5" x14ac:dyDescent="0.45">
      <c r="A17" s="2" t="s">
        <v>526</v>
      </c>
      <c r="B17" s="2" t="s">
        <v>385</v>
      </c>
      <c r="C17" s="2" t="s">
        <v>527</v>
      </c>
      <c r="D17" s="2" t="s">
        <v>387</v>
      </c>
      <c r="E17" s="2" t="s">
        <v>528</v>
      </c>
      <c r="F17" s="2" t="s">
        <v>389</v>
      </c>
      <c r="G17" s="2" t="s">
        <v>390</v>
      </c>
      <c r="H17" s="2" t="s">
        <v>529</v>
      </c>
      <c r="I17" s="2" t="s">
        <v>391</v>
      </c>
      <c r="J17" s="2" t="s">
        <v>57</v>
      </c>
      <c r="K17" s="2" t="s">
        <v>530</v>
      </c>
      <c r="L17" s="2" t="s">
        <v>531</v>
      </c>
      <c r="M17" s="2" t="s">
        <v>532</v>
      </c>
      <c r="N17" s="2" t="s">
        <v>518</v>
      </c>
      <c r="O17" s="2" t="s">
        <v>533</v>
      </c>
      <c r="P17" s="2" t="s">
        <v>534</v>
      </c>
      <c r="Q17" s="2" t="s">
        <v>521</v>
      </c>
      <c r="R17" s="2" t="s">
        <v>410</v>
      </c>
      <c r="S17" s="10" t="s">
        <v>135</v>
      </c>
      <c r="T17" s="2" t="s">
        <v>444</v>
      </c>
      <c r="U17" s="2" t="s">
        <v>535</v>
      </c>
      <c r="V17" s="2" t="s">
        <v>535</v>
      </c>
      <c r="W17" s="2" t="s">
        <v>536</v>
      </c>
      <c r="X17" s="2" t="s">
        <v>536</v>
      </c>
      <c r="Y17" s="2" t="s">
        <v>537</v>
      </c>
    </row>
    <row r="18" spans="1:25" ht="34.9" x14ac:dyDescent="0.45">
      <c r="A18" s="2" t="s">
        <v>538</v>
      </c>
      <c r="B18" s="2" t="s">
        <v>385</v>
      </c>
      <c r="C18" s="2" t="s">
        <v>539</v>
      </c>
      <c r="D18" s="2" t="s">
        <v>387</v>
      </c>
      <c r="E18" s="2" t="s">
        <v>540</v>
      </c>
      <c r="F18" s="2" t="s">
        <v>389</v>
      </c>
      <c r="G18" s="2" t="s">
        <v>390</v>
      </c>
      <c r="H18" s="2" t="s">
        <v>540</v>
      </c>
      <c r="I18" s="2" t="s">
        <v>391</v>
      </c>
      <c r="J18" s="2" t="s">
        <v>69</v>
      </c>
      <c r="K18" s="2" t="s">
        <v>93</v>
      </c>
      <c r="L18" s="2" t="s">
        <v>93</v>
      </c>
      <c r="M18" s="2" t="s">
        <v>93</v>
      </c>
      <c r="N18" s="2" t="s">
        <v>93</v>
      </c>
      <c r="O18" s="2" t="s">
        <v>93</v>
      </c>
      <c r="P18" s="2" t="s">
        <v>93</v>
      </c>
      <c r="Q18" s="2" t="s">
        <v>398</v>
      </c>
      <c r="R18" s="2" t="s">
        <v>410</v>
      </c>
      <c r="S18" s="13" t="s">
        <v>129</v>
      </c>
      <c r="T18" s="2" t="s">
        <v>541</v>
      </c>
      <c r="U18" s="2" t="s">
        <v>542</v>
      </c>
      <c r="V18" s="2" t="s">
        <v>542</v>
      </c>
      <c r="W18" s="2" t="s">
        <v>93</v>
      </c>
      <c r="X18" s="2" t="s">
        <v>93</v>
      </c>
      <c r="Y18" s="2" t="s">
        <v>543</v>
      </c>
    </row>
    <row r="19" spans="1:25" ht="34.9" x14ac:dyDescent="0.45">
      <c r="A19" s="2" t="s">
        <v>544</v>
      </c>
      <c r="B19" s="2" t="s">
        <v>385</v>
      </c>
      <c r="C19" s="2" t="s">
        <v>545</v>
      </c>
      <c r="D19" s="2" t="s">
        <v>93</v>
      </c>
      <c r="E19" s="2" t="s">
        <v>465</v>
      </c>
      <c r="F19" s="2" t="s">
        <v>93</v>
      </c>
      <c r="G19" s="2" t="s">
        <v>93</v>
      </c>
      <c r="H19" s="2" t="s">
        <v>93</v>
      </c>
      <c r="I19" s="2" t="s">
        <v>546</v>
      </c>
      <c r="J19" s="2" t="s">
        <v>93</v>
      </c>
      <c r="K19" s="2" t="s">
        <v>93</v>
      </c>
      <c r="L19" s="2" t="s">
        <v>93</v>
      </c>
      <c r="M19" s="2" t="s">
        <v>93</v>
      </c>
      <c r="N19" s="2" t="s">
        <v>547</v>
      </c>
      <c r="O19" s="2" t="s">
        <v>548</v>
      </c>
      <c r="P19" s="2" t="s">
        <v>93</v>
      </c>
      <c r="Q19" s="2" t="s">
        <v>93</v>
      </c>
      <c r="R19" s="2" t="s">
        <v>93</v>
      </c>
      <c r="S19" s="13" t="s">
        <v>129</v>
      </c>
      <c r="T19" s="2" t="s">
        <v>93</v>
      </c>
      <c r="U19" s="2" t="s">
        <v>93</v>
      </c>
      <c r="V19" s="2" t="s">
        <v>93</v>
      </c>
      <c r="W19" s="2" t="s">
        <v>93</v>
      </c>
      <c r="X19" s="2" t="s">
        <v>93</v>
      </c>
      <c r="Y19" s="2" t="s">
        <v>549</v>
      </c>
    </row>
    <row r="20" spans="1:25" ht="46.5" x14ac:dyDescent="0.45">
      <c r="A20" s="2" t="s">
        <v>550</v>
      </c>
      <c r="B20" s="2" t="s">
        <v>385</v>
      </c>
      <c r="C20" s="2" t="s">
        <v>551</v>
      </c>
      <c r="D20" s="2" t="s">
        <v>387</v>
      </c>
      <c r="E20" s="2" t="s">
        <v>552</v>
      </c>
      <c r="F20" s="2" t="s">
        <v>389</v>
      </c>
      <c r="G20" s="2" t="s">
        <v>390</v>
      </c>
      <c r="H20" s="2" t="s">
        <v>552</v>
      </c>
      <c r="I20" s="2" t="s">
        <v>391</v>
      </c>
      <c r="J20" s="2" t="s">
        <v>79</v>
      </c>
      <c r="K20" s="2" t="s">
        <v>553</v>
      </c>
      <c r="L20" s="2" t="s">
        <v>554</v>
      </c>
      <c r="M20" s="2" t="s">
        <v>555</v>
      </c>
      <c r="N20" s="2" t="s">
        <v>556</v>
      </c>
      <c r="O20" s="2" t="s">
        <v>557</v>
      </c>
      <c r="P20" s="2" t="s">
        <v>79</v>
      </c>
      <c r="Q20" s="2" t="s">
        <v>398</v>
      </c>
      <c r="R20" s="2" t="s">
        <v>558</v>
      </c>
      <c r="S20" s="13" t="s">
        <v>129</v>
      </c>
      <c r="T20" s="2" t="s">
        <v>559</v>
      </c>
      <c r="U20" s="2" t="s">
        <v>560</v>
      </c>
      <c r="V20" s="2" t="s">
        <v>561</v>
      </c>
      <c r="W20" s="2" t="s">
        <v>562</v>
      </c>
      <c r="X20" s="2" t="s">
        <v>563</v>
      </c>
      <c r="Y20" s="2" t="s">
        <v>564</v>
      </c>
    </row>
    <row r="21" spans="1:25" ht="23.25" x14ac:dyDescent="0.45">
      <c r="A21" s="2" t="s">
        <v>565</v>
      </c>
      <c r="B21" s="2" t="s">
        <v>385</v>
      </c>
      <c r="C21" s="2" t="s">
        <v>566</v>
      </c>
      <c r="D21" s="2" t="s">
        <v>387</v>
      </c>
      <c r="E21" s="2" t="s">
        <v>567</v>
      </c>
      <c r="F21" s="2" t="s">
        <v>389</v>
      </c>
      <c r="G21" s="2" t="s">
        <v>390</v>
      </c>
      <c r="H21" s="2" t="s">
        <v>567</v>
      </c>
      <c r="I21" s="2" t="s">
        <v>391</v>
      </c>
      <c r="J21" s="2" t="s">
        <v>79</v>
      </c>
      <c r="K21" s="2" t="s">
        <v>553</v>
      </c>
      <c r="L21" s="2" t="s">
        <v>93</v>
      </c>
      <c r="M21" s="2" t="s">
        <v>93</v>
      </c>
      <c r="N21" s="2" t="s">
        <v>93</v>
      </c>
      <c r="O21" s="2" t="s">
        <v>93</v>
      </c>
      <c r="P21" s="2" t="s">
        <v>93</v>
      </c>
      <c r="Q21" s="2" t="s">
        <v>398</v>
      </c>
      <c r="R21" s="2" t="s">
        <v>568</v>
      </c>
      <c r="S21" s="13" t="s">
        <v>129</v>
      </c>
      <c r="T21" s="2" t="s">
        <v>426</v>
      </c>
      <c r="U21" s="2" t="s">
        <v>569</v>
      </c>
      <c r="V21" s="2" t="s">
        <v>570</v>
      </c>
      <c r="W21" s="2" t="s">
        <v>93</v>
      </c>
      <c r="X21" s="2" t="s">
        <v>93</v>
      </c>
      <c r="Y21" s="2"/>
    </row>
    <row r="22" spans="1:25" ht="23.25" x14ac:dyDescent="0.45">
      <c r="A22" s="2" t="s">
        <v>571</v>
      </c>
      <c r="B22" s="2" t="s">
        <v>385</v>
      </c>
      <c r="C22" s="2" t="s">
        <v>572</v>
      </c>
      <c r="D22" s="2" t="s">
        <v>387</v>
      </c>
      <c r="E22" s="2" t="s">
        <v>573</v>
      </c>
      <c r="F22" s="2" t="s">
        <v>389</v>
      </c>
      <c r="G22" s="2" t="s">
        <v>390</v>
      </c>
      <c r="H22" s="2" t="s">
        <v>573</v>
      </c>
      <c r="I22" s="2" t="s">
        <v>391</v>
      </c>
      <c r="J22" s="2" t="s">
        <v>79</v>
      </c>
      <c r="K22" s="2" t="s">
        <v>574</v>
      </c>
      <c r="L22" s="2" t="s">
        <v>93</v>
      </c>
      <c r="M22" s="2" t="s">
        <v>93</v>
      </c>
      <c r="N22" s="2" t="s">
        <v>93</v>
      </c>
      <c r="O22" s="2" t="s">
        <v>93</v>
      </c>
      <c r="P22" s="2" t="s">
        <v>93</v>
      </c>
      <c r="Q22" s="2" t="s">
        <v>398</v>
      </c>
      <c r="R22" s="2" t="s">
        <v>575</v>
      </c>
      <c r="S22" s="13" t="s">
        <v>129</v>
      </c>
      <c r="T22" s="2" t="s">
        <v>426</v>
      </c>
      <c r="U22" s="2" t="s">
        <v>576</v>
      </c>
      <c r="V22" s="2" t="s">
        <v>577</v>
      </c>
      <c r="W22" s="2" t="s">
        <v>93</v>
      </c>
      <c r="X22" s="2" t="s">
        <v>93</v>
      </c>
      <c r="Y22" s="2"/>
    </row>
    <row r="23" spans="1:25" ht="34.9" x14ac:dyDescent="0.45">
      <c r="A23" s="2" t="s">
        <v>578</v>
      </c>
      <c r="B23" s="2" t="s">
        <v>385</v>
      </c>
      <c r="C23" s="2" t="s">
        <v>579</v>
      </c>
      <c r="D23" s="2" t="s">
        <v>387</v>
      </c>
      <c r="E23" s="2" t="s">
        <v>580</v>
      </c>
      <c r="F23" s="2" t="s">
        <v>389</v>
      </c>
      <c r="G23" s="2" t="s">
        <v>390</v>
      </c>
      <c r="H23" s="2" t="s">
        <v>580</v>
      </c>
      <c r="I23" s="2" t="s">
        <v>391</v>
      </c>
      <c r="J23" s="2" t="s">
        <v>79</v>
      </c>
      <c r="K23" s="2" t="s">
        <v>574</v>
      </c>
      <c r="L23" s="2" t="s">
        <v>554</v>
      </c>
      <c r="M23" s="2" t="s">
        <v>581</v>
      </c>
      <c r="N23" s="2" t="s">
        <v>556</v>
      </c>
      <c r="O23" s="2" t="s">
        <v>582</v>
      </c>
      <c r="P23" s="2" t="s">
        <v>79</v>
      </c>
      <c r="Q23" s="2" t="s">
        <v>398</v>
      </c>
      <c r="R23" s="2" t="s">
        <v>583</v>
      </c>
      <c r="S23" s="13" t="s">
        <v>129</v>
      </c>
      <c r="T23" s="2" t="s">
        <v>584</v>
      </c>
      <c r="U23" s="2" t="s">
        <v>585</v>
      </c>
      <c r="V23" s="2" t="s">
        <v>586</v>
      </c>
      <c r="W23" s="2" t="s">
        <v>587</v>
      </c>
      <c r="X23" s="2" t="s">
        <v>588</v>
      </c>
      <c r="Y23" s="2" t="s">
        <v>589</v>
      </c>
    </row>
    <row r="24" spans="1:25" ht="46.5" x14ac:dyDescent="0.45">
      <c r="A24" s="2" t="s">
        <v>590</v>
      </c>
      <c r="B24" s="2" t="s">
        <v>385</v>
      </c>
      <c r="C24" s="2" t="s">
        <v>591</v>
      </c>
      <c r="D24" s="2" t="s">
        <v>387</v>
      </c>
      <c r="E24" s="2" t="s">
        <v>592</v>
      </c>
      <c r="F24" s="2" t="s">
        <v>389</v>
      </c>
      <c r="G24" s="2" t="s">
        <v>390</v>
      </c>
      <c r="H24" s="2" t="s">
        <v>592</v>
      </c>
      <c r="I24" s="2" t="s">
        <v>391</v>
      </c>
      <c r="J24" s="2" t="s">
        <v>593</v>
      </c>
      <c r="K24" s="2" t="s">
        <v>594</v>
      </c>
      <c r="L24" s="2" t="s">
        <v>595</v>
      </c>
      <c r="M24" s="2" t="s">
        <v>596</v>
      </c>
      <c r="N24" s="2" t="s">
        <v>597</v>
      </c>
      <c r="O24" s="2" t="s">
        <v>598</v>
      </c>
      <c r="P24" s="2" t="s">
        <v>593</v>
      </c>
      <c r="Q24" s="2" t="s">
        <v>458</v>
      </c>
      <c r="R24" s="2" t="s">
        <v>599</v>
      </c>
      <c r="S24" s="10" t="s">
        <v>135</v>
      </c>
      <c r="T24" s="2" t="s">
        <v>444</v>
      </c>
      <c r="U24" s="2" t="s">
        <v>600</v>
      </c>
      <c r="V24" s="2" t="s">
        <v>601</v>
      </c>
      <c r="W24" s="2" t="s">
        <v>602</v>
      </c>
      <c r="X24" s="2" t="s">
        <v>602</v>
      </c>
      <c r="Y24" s="2" t="s">
        <v>603</v>
      </c>
    </row>
    <row r="25" spans="1:25" ht="23.25" x14ac:dyDescent="0.45">
      <c r="A25" s="2" t="s">
        <v>604</v>
      </c>
      <c r="B25" s="2" t="s">
        <v>385</v>
      </c>
      <c r="C25" s="2" t="s">
        <v>605</v>
      </c>
      <c r="D25" s="2" t="s">
        <v>387</v>
      </c>
      <c r="E25" s="2" t="s">
        <v>606</v>
      </c>
      <c r="F25" s="2" t="s">
        <v>389</v>
      </c>
      <c r="G25" s="2" t="s">
        <v>390</v>
      </c>
      <c r="H25" s="2" t="s">
        <v>606</v>
      </c>
      <c r="I25" s="2" t="s">
        <v>391</v>
      </c>
      <c r="J25" s="2" t="s">
        <v>593</v>
      </c>
      <c r="K25" s="2" t="s">
        <v>607</v>
      </c>
      <c r="L25" s="2" t="s">
        <v>608</v>
      </c>
      <c r="M25" s="2" t="s">
        <v>93</v>
      </c>
      <c r="N25" s="2" t="s">
        <v>597</v>
      </c>
      <c r="O25" s="2" t="s">
        <v>609</v>
      </c>
      <c r="P25" s="2" t="s">
        <v>593</v>
      </c>
      <c r="Q25" s="2" t="s">
        <v>458</v>
      </c>
      <c r="R25" s="2" t="s">
        <v>410</v>
      </c>
      <c r="S25" s="10" t="s">
        <v>135</v>
      </c>
      <c r="T25" s="2" t="s">
        <v>444</v>
      </c>
      <c r="U25" s="2" t="s">
        <v>610</v>
      </c>
      <c r="V25" s="2" t="s">
        <v>611</v>
      </c>
      <c r="W25" s="2" t="s">
        <v>612</v>
      </c>
      <c r="X25" s="2" t="s">
        <v>612</v>
      </c>
      <c r="Y25" s="2"/>
    </row>
    <row r="26" spans="1:25" ht="23.25" x14ac:dyDescent="0.45">
      <c r="A26" s="2" t="s">
        <v>613</v>
      </c>
      <c r="B26" s="2" t="s">
        <v>385</v>
      </c>
      <c r="C26" s="2" t="s">
        <v>614</v>
      </c>
      <c r="D26" s="2" t="s">
        <v>387</v>
      </c>
      <c r="E26" s="2" t="s">
        <v>615</v>
      </c>
      <c r="F26" s="2" t="s">
        <v>389</v>
      </c>
      <c r="G26" s="2" t="s">
        <v>390</v>
      </c>
      <c r="H26" s="2" t="s">
        <v>615</v>
      </c>
      <c r="I26" s="2" t="s">
        <v>431</v>
      </c>
      <c r="J26" s="2" t="s">
        <v>616</v>
      </c>
      <c r="K26" s="2" t="s">
        <v>93</v>
      </c>
      <c r="L26" s="2" t="s">
        <v>93</v>
      </c>
      <c r="M26" s="2" t="s">
        <v>93</v>
      </c>
      <c r="N26" s="2" t="s">
        <v>93</v>
      </c>
      <c r="O26" s="2" t="s">
        <v>93</v>
      </c>
      <c r="P26" s="2" t="s">
        <v>93</v>
      </c>
      <c r="Q26" s="2" t="s">
        <v>93</v>
      </c>
      <c r="R26" s="2" t="s">
        <v>93</v>
      </c>
      <c r="S26" s="13" t="s">
        <v>129</v>
      </c>
      <c r="T26" s="2" t="s">
        <v>93</v>
      </c>
      <c r="U26" s="2" t="s">
        <v>617</v>
      </c>
      <c r="V26" s="2" t="s">
        <v>618</v>
      </c>
      <c r="W26" s="2" t="s">
        <v>93</v>
      </c>
      <c r="X26" s="2" t="s">
        <v>93</v>
      </c>
      <c r="Y26" s="2" t="s">
        <v>619</v>
      </c>
    </row>
    <row r="27" spans="1:25" ht="186" x14ac:dyDescent="0.45">
      <c r="A27" s="2" t="s">
        <v>620</v>
      </c>
      <c r="B27" s="2" t="s">
        <v>621</v>
      </c>
      <c r="C27" s="2" t="s">
        <v>102</v>
      </c>
      <c r="D27" s="2" t="s">
        <v>622</v>
      </c>
      <c r="E27" s="2" t="s">
        <v>623</v>
      </c>
      <c r="F27" s="2" t="s">
        <v>389</v>
      </c>
      <c r="G27" s="2" t="s">
        <v>390</v>
      </c>
      <c r="H27" s="2" t="s">
        <v>623</v>
      </c>
      <c r="I27" s="2" t="s">
        <v>624</v>
      </c>
      <c r="J27" s="2" t="s">
        <v>625</v>
      </c>
      <c r="K27" s="2" t="s">
        <v>626</v>
      </c>
      <c r="L27" s="2" t="s">
        <v>627</v>
      </c>
      <c r="M27" s="2" t="s">
        <v>628</v>
      </c>
      <c r="N27" s="2" t="s">
        <v>489</v>
      </c>
      <c r="O27" s="2" t="s">
        <v>629</v>
      </c>
      <c r="P27" s="2" t="s">
        <v>93</v>
      </c>
      <c r="Q27" s="2" t="s">
        <v>630</v>
      </c>
      <c r="R27" s="2" t="s">
        <v>631</v>
      </c>
      <c r="S27" s="10" t="s">
        <v>135</v>
      </c>
      <c r="T27" s="2" t="s">
        <v>632</v>
      </c>
      <c r="U27" s="2" t="s">
        <v>633</v>
      </c>
      <c r="V27" s="2" t="s">
        <v>634</v>
      </c>
      <c r="W27" s="2" t="s">
        <v>635</v>
      </c>
      <c r="X27" s="2" t="s">
        <v>635</v>
      </c>
      <c r="Y27" s="2" t="s">
        <v>636</v>
      </c>
    </row>
    <row r="28" spans="1:25" ht="409.5" x14ac:dyDescent="0.45">
      <c r="A28" s="2" t="s">
        <v>637</v>
      </c>
      <c r="B28" s="2" t="s">
        <v>621</v>
      </c>
      <c r="C28" s="2" t="s">
        <v>104</v>
      </c>
      <c r="D28" s="2" t="s">
        <v>622</v>
      </c>
      <c r="E28" s="2" t="s">
        <v>638</v>
      </c>
      <c r="F28" s="2" t="s">
        <v>389</v>
      </c>
      <c r="G28" s="2" t="s">
        <v>390</v>
      </c>
      <c r="H28" s="2" t="s">
        <v>638</v>
      </c>
      <c r="I28" s="2" t="s">
        <v>624</v>
      </c>
      <c r="J28" s="2" t="s">
        <v>625</v>
      </c>
      <c r="K28" s="2" t="s">
        <v>639</v>
      </c>
      <c r="L28" s="2" t="s">
        <v>640</v>
      </c>
      <c r="M28" s="2" t="s">
        <v>641</v>
      </c>
      <c r="N28" s="2" t="s">
        <v>441</v>
      </c>
      <c r="O28" s="2" t="s">
        <v>642</v>
      </c>
      <c r="P28" s="2" t="s">
        <v>93</v>
      </c>
      <c r="Q28" s="2" t="s">
        <v>643</v>
      </c>
      <c r="R28" s="2" t="s">
        <v>644</v>
      </c>
      <c r="S28" s="10" t="s">
        <v>135</v>
      </c>
      <c r="T28" s="2" t="s">
        <v>632</v>
      </c>
      <c r="U28" s="2" t="s">
        <v>645</v>
      </c>
      <c r="V28" s="2" t="s">
        <v>646</v>
      </c>
      <c r="W28" s="2" t="s">
        <v>647</v>
      </c>
      <c r="X28" s="2" t="s">
        <v>647</v>
      </c>
      <c r="Y28" s="2" t="s">
        <v>648</v>
      </c>
    </row>
    <row r="29" spans="1:25" ht="409.5" x14ac:dyDescent="0.45">
      <c r="A29" s="2" t="s">
        <v>649</v>
      </c>
      <c r="B29" s="2" t="s">
        <v>621</v>
      </c>
      <c r="C29" s="2" t="s">
        <v>106</v>
      </c>
      <c r="D29" s="2" t="s">
        <v>622</v>
      </c>
      <c r="E29" s="2" t="s">
        <v>650</v>
      </c>
      <c r="F29" s="2" t="s">
        <v>389</v>
      </c>
      <c r="G29" s="2" t="s">
        <v>390</v>
      </c>
      <c r="H29" s="2" t="s">
        <v>650</v>
      </c>
      <c r="I29" s="2" t="s">
        <v>624</v>
      </c>
      <c r="J29" s="2" t="s">
        <v>625</v>
      </c>
      <c r="K29" s="2" t="s">
        <v>639</v>
      </c>
      <c r="L29" s="2" t="s">
        <v>651</v>
      </c>
      <c r="M29" s="2" t="s">
        <v>641</v>
      </c>
      <c r="N29" s="2" t="s">
        <v>474</v>
      </c>
      <c r="O29" s="2" t="s">
        <v>642</v>
      </c>
      <c r="P29" s="2" t="s">
        <v>93</v>
      </c>
      <c r="Q29" s="2" t="s">
        <v>643</v>
      </c>
      <c r="R29" s="2" t="s">
        <v>652</v>
      </c>
      <c r="S29" s="10" t="s">
        <v>135</v>
      </c>
      <c r="T29" s="2" t="s">
        <v>632</v>
      </c>
      <c r="U29" s="2" t="s">
        <v>653</v>
      </c>
      <c r="V29" s="2" t="s">
        <v>654</v>
      </c>
      <c r="W29" s="2" t="s">
        <v>655</v>
      </c>
      <c r="X29" s="2" t="s">
        <v>655</v>
      </c>
      <c r="Y29" s="2" t="s">
        <v>656</v>
      </c>
    </row>
    <row r="30" spans="1:25" ht="46.5" x14ac:dyDescent="0.45">
      <c r="A30" s="2" t="s">
        <v>657</v>
      </c>
      <c r="B30" s="2" t="s">
        <v>621</v>
      </c>
      <c r="C30" s="2" t="s">
        <v>658</v>
      </c>
      <c r="D30" s="2" t="s">
        <v>622</v>
      </c>
      <c r="E30" s="2" t="s">
        <v>659</v>
      </c>
      <c r="F30" s="2" t="s">
        <v>389</v>
      </c>
      <c r="G30" s="2" t="s">
        <v>390</v>
      </c>
      <c r="H30" s="2" t="s">
        <v>659</v>
      </c>
      <c r="I30" s="2" t="s">
        <v>624</v>
      </c>
      <c r="J30" s="2" t="s">
        <v>625</v>
      </c>
      <c r="K30" s="2" t="s">
        <v>639</v>
      </c>
      <c r="L30" s="2" t="s">
        <v>608</v>
      </c>
      <c r="M30" s="2" t="s">
        <v>93</v>
      </c>
      <c r="N30" s="2" t="s">
        <v>597</v>
      </c>
      <c r="O30" s="2" t="s">
        <v>660</v>
      </c>
      <c r="P30" s="2" t="s">
        <v>93</v>
      </c>
      <c r="Q30" s="2" t="s">
        <v>661</v>
      </c>
      <c r="R30" s="2" t="s">
        <v>662</v>
      </c>
      <c r="S30" s="10" t="s">
        <v>135</v>
      </c>
      <c r="T30" s="2" t="s">
        <v>444</v>
      </c>
      <c r="U30" s="2" t="s">
        <v>663</v>
      </c>
      <c r="V30" s="2" t="s">
        <v>664</v>
      </c>
      <c r="W30" s="2" t="s">
        <v>665</v>
      </c>
      <c r="X30" s="2" t="s">
        <v>665</v>
      </c>
      <c r="Y30" s="2" t="s">
        <v>666</v>
      </c>
    </row>
    <row r="31" spans="1:25" ht="46.5" x14ac:dyDescent="0.45">
      <c r="A31" s="2" t="s">
        <v>667</v>
      </c>
      <c r="B31" s="2" t="s">
        <v>621</v>
      </c>
      <c r="C31" s="2" t="s">
        <v>668</v>
      </c>
      <c r="D31" s="2" t="s">
        <v>622</v>
      </c>
      <c r="E31" s="2" t="s">
        <v>669</v>
      </c>
      <c r="F31" s="2" t="s">
        <v>389</v>
      </c>
      <c r="G31" s="2" t="s">
        <v>390</v>
      </c>
      <c r="H31" s="2" t="s">
        <v>669</v>
      </c>
      <c r="I31" s="2" t="s">
        <v>624</v>
      </c>
      <c r="J31" s="2" t="s">
        <v>625</v>
      </c>
      <c r="K31" s="2" t="s">
        <v>639</v>
      </c>
      <c r="L31" s="2" t="s">
        <v>608</v>
      </c>
      <c r="M31" s="2" t="s">
        <v>93</v>
      </c>
      <c r="N31" s="2" t="s">
        <v>597</v>
      </c>
      <c r="O31" s="2" t="s">
        <v>670</v>
      </c>
      <c r="P31" s="2" t="s">
        <v>93</v>
      </c>
      <c r="Q31" s="2" t="s">
        <v>671</v>
      </c>
      <c r="R31" s="2" t="s">
        <v>662</v>
      </c>
      <c r="S31" s="10" t="s">
        <v>135</v>
      </c>
      <c r="T31" s="2" t="s">
        <v>444</v>
      </c>
      <c r="U31" s="2" t="s">
        <v>672</v>
      </c>
      <c r="V31" s="2" t="s">
        <v>673</v>
      </c>
      <c r="W31" s="2" t="s">
        <v>674</v>
      </c>
      <c r="X31" s="2" t="s">
        <v>674</v>
      </c>
      <c r="Y31" s="2" t="s">
        <v>675</v>
      </c>
    </row>
    <row r="32" spans="1:25" ht="34.9" x14ac:dyDescent="0.45">
      <c r="A32" s="2" t="s">
        <v>676</v>
      </c>
      <c r="B32" s="2" t="s">
        <v>621</v>
      </c>
      <c r="C32" s="2" t="s">
        <v>677</v>
      </c>
      <c r="D32" s="2" t="s">
        <v>622</v>
      </c>
      <c r="E32" s="2" t="s">
        <v>678</v>
      </c>
      <c r="F32" s="2" t="s">
        <v>389</v>
      </c>
      <c r="G32" s="2" t="s">
        <v>390</v>
      </c>
      <c r="H32" s="2" t="s">
        <v>678</v>
      </c>
      <c r="I32" s="2" t="s">
        <v>624</v>
      </c>
      <c r="J32" s="2" t="s">
        <v>625</v>
      </c>
      <c r="K32" s="2" t="s">
        <v>639</v>
      </c>
      <c r="L32" s="2" t="s">
        <v>608</v>
      </c>
      <c r="M32" s="2" t="s">
        <v>93</v>
      </c>
      <c r="N32" s="2" t="s">
        <v>597</v>
      </c>
      <c r="O32" s="2" t="s">
        <v>679</v>
      </c>
      <c r="P32" s="2" t="s">
        <v>93</v>
      </c>
      <c r="Q32" s="2" t="s">
        <v>680</v>
      </c>
      <c r="R32" s="2" t="s">
        <v>662</v>
      </c>
      <c r="S32" s="10" t="s">
        <v>135</v>
      </c>
      <c r="T32" s="2" t="s">
        <v>444</v>
      </c>
      <c r="U32" s="2" t="s">
        <v>681</v>
      </c>
      <c r="V32" s="2" t="s">
        <v>682</v>
      </c>
      <c r="W32" s="2" t="s">
        <v>683</v>
      </c>
      <c r="X32" s="2" t="s">
        <v>683</v>
      </c>
      <c r="Y32" s="2" t="s">
        <v>684</v>
      </c>
    </row>
    <row r="33" spans="1:25" ht="46.5" x14ac:dyDescent="0.45">
      <c r="A33" s="2" t="s">
        <v>685</v>
      </c>
      <c r="B33" s="2" t="s">
        <v>621</v>
      </c>
      <c r="C33" s="2" t="s">
        <v>686</v>
      </c>
      <c r="D33" s="2" t="s">
        <v>387</v>
      </c>
      <c r="E33" s="2" t="s">
        <v>687</v>
      </c>
      <c r="F33" s="2" t="s">
        <v>688</v>
      </c>
      <c r="G33" s="2" t="s">
        <v>390</v>
      </c>
      <c r="H33" s="2" t="s">
        <v>687</v>
      </c>
      <c r="I33" s="2" t="s">
        <v>391</v>
      </c>
      <c r="J33" s="2" t="s">
        <v>689</v>
      </c>
      <c r="K33" s="2" t="s">
        <v>690</v>
      </c>
      <c r="L33" s="2" t="s">
        <v>394</v>
      </c>
      <c r="M33" s="2" t="s">
        <v>691</v>
      </c>
      <c r="N33" s="2" t="s">
        <v>93</v>
      </c>
      <c r="O33" s="2" t="s">
        <v>692</v>
      </c>
      <c r="P33" s="2" t="s">
        <v>93</v>
      </c>
      <c r="Q33" s="2" t="s">
        <v>398</v>
      </c>
      <c r="R33" s="2" t="s">
        <v>693</v>
      </c>
      <c r="S33" s="13" t="s">
        <v>129</v>
      </c>
      <c r="T33" s="2" t="s">
        <v>694</v>
      </c>
      <c r="U33" s="2" t="s">
        <v>695</v>
      </c>
      <c r="V33" s="2" t="s">
        <v>696</v>
      </c>
      <c r="W33" s="2" t="s">
        <v>93</v>
      </c>
      <c r="X33" s="2" t="s">
        <v>93</v>
      </c>
      <c r="Y33" s="2" t="s">
        <v>697</v>
      </c>
    </row>
    <row r="34" spans="1:25" ht="46.5" x14ac:dyDescent="0.45">
      <c r="A34" s="2" t="s">
        <v>698</v>
      </c>
      <c r="B34" s="2" t="s">
        <v>621</v>
      </c>
      <c r="C34" s="2" t="s">
        <v>699</v>
      </c>
      <c r="D34" s="2" t="s">
        <v>700</v>
      </c>
      <c r="E34" s="2" t="s">
        <v>701</v>
      </c>
      <c r="F34" s="2" t="s">
        <v>389</v>
      </c>
      <c r="G34" s="2" t="s">
        <v>390</v>
      </c>
      <c r="H34" s="2" t="s">
        <v>702</v>
      </c>
      <c r="I34" s="2" t="s">
        <v>391</v>
      </c>
      <c r="J34" s="2" t="s">
        <v>689</v>
      </c>
      <c r="K34" s="2" t="s">
        <v>703</v>
      </c>
      <c r="L34" s="2" t="s">
        <v>394</v>
      </c>
      <c r="M34" s="2" t="s">
        <v>704</v>
      </c>
      <c r="N34" s="2" t="s">
        <v>705</v>
      </c>
      <c r="O34" s="2" t="s">
        <v>706</v>
      </c>
      <c r="P34" s="2" t="s">
        <v>93</v>
      </c>
      <c r="Q34" s="2" t="s">
        <v>398</v>
      </c>
      <c r="R34" s="2" t="s">
        <v>707</v>
      </c>
      <c r="S34" s="10" t="s">
        <v>135</v>
      </c>
      <c r="T34" s="2" t="s">
        <v>708</v>
      </c>
      <c r="U34" s="2" t="s">
        <v>709</v>
      </c>
      <c r="V34" s="2" t="s">
        <v>710</v>
      </c>
      <c r="W34" s="2" t="s">
        <v>711</v>
      </c>
      <c r="X34" s="2" t="s">
        <v>448</v>
      </c>
      <c r="Y34" s="2"/>
    </row>
    <row r="35" spans="1:25" ht="34.9" x14ac:dyDescent="0.45">
      <c r="A35" s="2" t="s">
        <v>712</v>
      </c>
      <c r="B35" s="2" t="s">
        <v>621</v>
      </c>
      <c r="C35" s="2" t="s">
        <v>713</v>
      </c>
      <c r="D35" s="2" t="s">
        <v>387</v>
      </c>
      <c r="E35" s="2" t="s">
        <v>714</v>
      </c>
      <c r="F35" s="2" t="s">
        <v>389</v>
      </c>
      <c r="G35" s="2" t="s">
        <v>715</v>
      </c>
      <c r="H35" s="2" t="s">
        <v>716</v>
      </c>
      <c r="I35" s="2" t="s">
        <v>717</v>
      </c>
      <c r="J35" s="2" t="s">
        <v>718</v>
      </c>
      <c r="K35" s="2" t="s">
        <v>719</v>
      </c>
      <c r="L35" s="2" t="s">
        <v>394</v>
      </c>
      <c r="M35" s="2" t="s">
        <v>720</v>
      </c>
      <c r="N35" s="2" t="s">
        <v>705</v>
      </c>
      <c r="O35" s="2" t="s">
        <v>721</v>
      </c>
      <c r="P35" s="2" t="s">
        <v>722</v>
      </c>
      <c r="Q35" s="2" t="s">
        <v>723</v>
      </c>
      <c r="R35" s="2" t="s">
        <v>93</v>
      </c>
      <c r="S35" s="14" t="s">
        <v>477</v>
      </c>
      <c r="T35" s="2" t="s">
        <v>426</v>
      </c>
      <c r="U35" s="2" t="s">
        <v>93</v>
      </c>
      <c r="V35" s="2" t="s">
        <v>93</v>
      </c>
      <c r="W35" s="2" t="s">
        <v>724</v>
      </c>
      <c r="X35" s="2" t="s">
        <v>448</v>
      </c>
      <c r="Y35" s="2" t="s">
        <v>725</v>
      </c>
    </row>
  </sheetData>
  <autoFilter ref="A1:Y35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6" customWidth="1"/>
    <col min="2" max="2" width="8" customWidth="1"/>
    <col min="3" max="3" width="22" customWidth="1"/>
    <col min="4" max="4" width="12" customWidth="1"/>
    <col min="5" max="5" width="30" customWidth="1"/>
    <col min="6" max="6" width="10" customWidth="1"/>
    <col min="7" max="7" width="11" customWidth="1"/>
    <col min="8" max="8" width="30" customWidth="1"/>
    <col min="9" max="9" width="16" customWidth="1"/>
    <col min="10" max="10" width="9" customWidth="1"/>
    <col min="11" max="11" width="26" customWidth="1"/>
    <col min="12" max="12" width="16" customWidth="1"/>
    <col min="13" max="14" width="26" customWidth="1"/>
    <col min="15" max="15" width="30" customWidth="1"/>
    <col min="16" max="16" width="10" customWidth="1"/>
    <col min="17" max="17" width="22" customWidth="1"/>
    <col min="18" max="18" width="24" customWidth="1"/>
    <col min="19" max="19" width="8" customWidth="1"/>
    <col min="20" max="20" width="30" customWidth="1"/>
    <col min="21" max="24" width="26" customWidth="1"/>
    <col min="25" max="25" width="40" customWidth="1"/>
  </cols>
  <sheetData>
    <row r="1" spans="1:25" ht="26.25" x14ac:dyDescent="0.45">
      <c r="A1" s="1" t="s">
        <v>359</v>
      </c>
      <c r="B1" s="1" t="s">
        <v>360</v>
      </c>
      <c r="C1" s="1" t="s">
        <v>361</v>
      </c>
      <c r="D1" s="1" t="s">
        <v>362</v>
      </c>
      <c r="E1" s="1" t="s">
        <v>363</v>
      </c>
      <c r="F1" s="1" t="s">
        <v>364</v>
      </c>
      <c r="G1" s="1" t="s">
        <v>365</v>
      </c>
      <c r="H1" s="1" t="s">
        <v>366</v>
      </c>
      <c r="I1" s="1" t="s">
        <v>367</v>
      </c>
      <c r="J1" s="1" t="s">
        <v>368</v>
      </c>
      <c r="K1" s="1" t="s">
        <v>369</v>
      </c>
      <c r="L1" s="1" t="s">
        <v>370</v>
      </c>
      <c r="M1" s="1" t="s">
        <v>371</v>
      </c>
      <c r="N1" s="1" t="s">
        <v>372</v>
      </c>
      <c r="O1" s="1" t="s">
        <v>373</v>
      </c>
      <c r="P1" s="1" t="s">
        <v>374</v>
      </c>
      <c r="Q1" s="1" t="s">
        <v>375</v>
      </c>
      <c r="R1" s="1" t="s">
        <v>376</v>
      </c>
      <c r="S1" s="1" t="s">
        <v>377</v>
      </c>
      <c r="T1" s="1" t="s">
        <v>378</v>
      </c>
      <c r="U1" s="1" t="s">
        <v>379</v>
      </c>
      <c r="V1" s="1" t="s">
        <v>380</v>
      </c>
      <c r="W1" s="1" t="s">
        <v>381</v>
      </c>
      <c r="X1" s="1" t="s">
        <v>382</v>
      </c>
      <c r="Y1" s="1" t="s">
        <v>383</v>
      </c>
    </row>
    <row r="2" spans="1:25" ht="46.5" x14ac:dyDescent="0.45">
      <c r="A2" s="2" t="s">
        <v>726</v>
      </c>
      <c r="B2" s="2" t="s">
        <v>727</v>
      </c>
      <c r="C2" s="2" t="s">
        <v>728</v>
      </c>
      <c r="D2" s="2" t="s">
        <v>729</v>
      </c>
      <c r="E2" s="2" t="s">
        <v>730</v>
      </c>
      <c r="F2" s="2" t="s">
        <v>731</v>
      </c>
      <c r="G2" s="2" t="s">
        <v>93</v>
      </c>
      <c r="H2" s="2" t="s">
        <v>93</v>
      </c>
      <c r="I2" s="2" t="s">
        <v>732</v>
      </c>
      <c r="J2" s="2" t="s">
        <v>392</v>
      </c>
      <c r="K2" s="2" t="s">
        <v>93</v>
      </c>
      <c r="L2" s="2" t="s">
        <v>729</v>
      </c>
      <c r="M2" s="2" t="s">
        <v>733</v>
      </c>
      <c r="N2" s="2" t="s">
        <v>734</v>
      </c>
      <c r="O2" s="2" t="s">
        <v>735</v>
      </c>
      <c r="P2" s="2" t="s">
        <v>93</v>
      </c>
      <c r="Q2" s="2" t="s">
        <v>736</v>
      </c>
      <c r="R2" s="2" t="s">
        <v>737</v>
      </c>
      <c r="S2" s="10" t="s">
        <v>135</v>
      </c>
      <c r="T2" s="2" t="s">
        <v>738</v>
      </c>
      <c r="U2" s="2" t="s">
        <v>739</v>
      </c>
      <c r="V2" s="2" t="s">
        <v>739</v>
      </c>
      <c r="W2" s="2" t="s">
        <v>740</v>
      </c>
      <c r="X2" s="2" t="s">
        <v>448</v>
      </c>
      <c r="Y2" s="2" t="s">
        <v>741</v>
      </c>
    </row>
    <row r="3" spans="1:25" ht="81.400000000000006" x14ac:dyDescent="0.45">
      <c r="A3" s="2" t="s">
        <v>742</v>
      </c>
      <c r="B3" s="2" t="s">
        <v>727</v>
      </c>
      <c r="C3" s="2" t="s">
        <v>743</v>
      </c>
      <c r="D3" s="2" t="s">
        <v>729</v>
      </c>
      <c r="E3" s="2" t="s">
        <v>744</v>
      </c>
      <c r="F3" s="2" t="s">
        <v>745</v>
      </c>
      <c r="G3" s="2" t="s">
        <v>93</v>
      </c>
      <c r="H3" s="2" t="s">
        <v>746</v>
      </c>
      <c r="I3" s="2" t="s">
        <v>747</v>
      </c>
      <c r="J3" s="2" t="s">
        <v>392</v>
      </c>
      <c r="K3" s="2" t="s">
        <v>93</v>
      </c>
      <c r="L3" s="2" t="s">
        <v>748</v>
      </c>
      <c r="M3" s="2" t="s">
        <v>749</v>
      </c>
      <c r="N3" s="2" t="s">
        <v>734</v>
      </c>
      <c r="O3" s="2" t="s">
        <v>750</v>
      </c>
      <c r="P3" s="2" t="s">
        <v>93</v>
      </c>
      <c r="Q3" s="2" t="s">
        <v>751</v>
      </c>
      <c r="R3" s="2" t="s">
        <v>752</v>
      </c>
      <c r="S3" s="10" t="s">
        <v>135</v>
      </c>
      <c r="T3" s="2" t="s">
        <v>753</v>
      </c>
      <c r="U3" s="2" t="s">
        <v>739</v>
      </c>
      <c r="V3" s="2" t="s">
        <v>739</v>
      </c>
      <c r="W3" s="2" t="s">
        <v>739</v>
      </c>
      <c r="X3" s="2" t="s">
        <v>448</v>
      </c>
      <c r="Y3" s="2" t="s">
        <v>754</v>
      </c>
    </row>
    <row r="4" spans="1:25" ht="34.9" x14ac:dyDescent="0.45">
      <c r="A4" s="2" t="s">
        <v>755</v>
      </c>
      <c r="B4" s="2" t="s">
        <v>727</v>
      </c>
      <c r="C4" s="2" t="s">
        <v>756</v>
      </c>
      <c r="D4" s="2" t="s">
        <v>93</v>
      </c>
      <c r="E4" s="2" t="s">
        <v>93</v>
      </c>
      <c r="F4" s="2" t="s">
        <v>757</v>
      </c>
      <c r="G4" s="2" t="s">
        <v>758</v>
      </c>
      <c r="H4" s="2" t="s">
        <v>759</v>
      </c>
      <c r="I4" s="2" t="s">
        <v>624</v>
      </c>
      <c r="J4" s="2" t="s">
        <v>93</v>
      </c>
      <c r="K4" s="2" t="s">
        <v>93</v>
      </c>
      <c r="L4" s="2" t="s">
        <v>748</v>
      </c>
      <c r="M4" s="2" t="s">
        <v>760</v>
      </c>
      <c r="N4" s="2" t="s">
        <v>271</v>
      </c>
      <c r="O4" s="2" t="s">
        <v>761</v>
      </c>
      <c r="P4" s="2" t="s">
        <v>93</v>
      </c>
      <c r="Q4" s="2" t="s">
        <v>762</v>
      </c>
      <c r="R4" s="2" t="s">
        <v>763</v>
      </c>
      <c r="S4" s="10" t="s">
        <v>135</v>
      </c>
      <c r="T4" s="2" t="s">
        <v>764</v>
      </c>
      <c r="U4" s="2" t="s">
        <v>765</v>
      </c>
      <c r="V4" s="2" t="s">
        <v>765</v>
      </c>
      <c r="W4" s="2" t="s">
        <v>765</v>
      </c>
      <c r="X4" s="2" t="s">
        <v>448</v>
      </c>
      <c r="Y4" s="2" t="s">
        <v>766</v>
      </c>
    </row>
    <row r="5" spans="1:25" ht="23.25" x14ac:dyDescent="0.45">
      <c r="A5" s="2" t="s">
        <v>767</v>
      </c>
      <c r="B5" s="2" t="s">
        <v>727</v>
      </c>
      <c r="C5" s="2" t="s">
        <v>768</v>
      </c>
      <c r="D5" s="2" t="s">
        <v>93</v>
      </c>
      <c r="E5" s="2" t="s">
        <v>93</v>
      </c>
      <c r="F5" s="2" t="s">
        <v>769</v>
      </c>
      <c r="G5" s="2" t="s">
        <v>93</v>
      </c>
      <c r="H5" s="2" t="s">
        <v>706</v>
      </c>
      <c r="I5" s="2" t="s">
        <v>770</v>
      </c>
      <c r="J5" s="2" t="s">
        <v>392</v>
      </c>
      <c r="K5" s="2" t="s">
        <v>93</v>
      </c>
      <c r="L5" s="2" t="s">
        <v>771</v>
      </c>
      <c r="M5" s="2" t="s">
        <v>772</v>
      </c>
      <c r="N5" s="2" t="s">
        <v>773</v>
      </c>
      <c r="O5" s="2" t="s">
        <v>706</v>
      </c>
      <c r="P5" s="2" t="s">
        <v>93</v>
      </c>
      <c r="Q5" s="2" t="s">
        <v>774</v>
      </c>
      <c r="R5" s="2" t="s">
        <v>93</v>
      </c>
      <c r="S5" s="10" t="s">
        <v>135</v>
      </c>
      <c r="T5" s="2" t="s">
        <v>775</v>
      </c>
      <c r="U5" s="2" t="s">
        <v>765</v>
      </c>
      <c r="V5" s="2" t="s">
        <v>765</v>
      </c>
      <c r="W5" s="2" t="s">
        <v>765</v>
      </c>
      <c r="X5" s="2" t="s">
        <v>448</v>
      </c>
      <c r="Y5" s="2"/>
    </row>
    <row r="6" spans="1:25" ht="23.25" x14ac:dyDescent="0.45">
      <c r="A6" s="2" t="s">
        <v>776</v>
      </c>
      <c r="B6" s="2" t="s">
        <v>727</v>
      </c>
      <c r="C6" s="2" t="s">
        <v>777</v>
      </c>
      <c r="D6" s="2" t="s">
        <v>93</v>
      </c>
      <c r="E6" s="2" t="s">
        <v>93</v>
      </c>
      <c r="F6" s="2" t="s">
        <v>778</v>
      </c>
      <c r="G6" s="2" t="s">
        <v>93</v>
      </c>
      <c r="H6" s="2" t="s">
        <v>779</v>
      </c>
      <c r="I6" s="2" t="s">
        <v>624</v>
      </c>
      <c r="J6" s="2" t="s">
        <v>780</v>
      </c>
      <c r="K6" s="2" t="s">
        <v>93</v>
      </c>
      <c r="L6" s="2" t="s">
        <v>771</v>
      </c>
      <c r="M6" s="2" t="s">
        <v>781</v>
      </c>
      <c r="N6" s="2" t="s">
        <v>773</v>
      </c>
      <c r="O6" s="2" t="s">
        <v>782</v>
      </c>
      <c r="P6" s="2" t="s">
        <v>783</v>
      </c>
      <c r="Q6" s="2" t="s">
        <v>784</v>
      </c>
      <c r="R6" s="2" t="s">
        <v>785</v>
      </c>
      <c r="S6" s="10" t="s">
        <v>135</v>
      </c>
      <c r="T6" s="2" t="s">
        <v>775</v>
      </c>
      <c r="U6" s="2" t="s">
        <v>765</v>
      </c>
      <c r="V6" s="2" t="s">
        <v>765</v>
      </c>
      <c r="W6" s="2" t="s">
        <v>765</v>
      </c>
      <c r="X6" s="2" t="s">
        <v>448</v>
      </c>
      <c r="Y6" s="2" t="s">
        <v>786</v>
      </c>
    </row>
    <row r="7" spans="1:25" ht="34.9" x14ac:dyDescent="0.45">
      <c r="A7" s="2" t="s">
        <v>787</v>
      </c>
      <c r="B7" s="2" t="s">
        <v>727</v>
      </c>
      <c r="C7" s="2" t="s">
        <v>788</v>
      </c>
      <c r="D7" s="2" t="s">
        <v>93</v>
      </c>
      <c r="E7" s="2" t="s">
        <v>93</v>
      </c>
      <c r="F7" s="2" t="s">
        <v>769</v>
      </c>
      <c r="G7" s="2" t="s">
        <v>789</v>
      </c>
      <c r="H7" s="2" t="s">
        <v>790</v>
      </c>
      <c r="I7" s="2" t="s">
        <v>770</v>
      </c>
      <c r="J7" s="2" t="s">
        <v>791</v>
      </c>
      <c r="K7" s="2" t="s">
        <v>93</v>
      </c>
      <c r="L7" s="2" t="s">
        <v>771</v>
      </c>
      <c r="M7" s="2" t="s">
        <v>792</v>
      </c>
      <c r="N7" s="2" t="s">
        <v>773</v>
      </c>
      <c r="O7" s="2" t="s">
        <v>793</v>
      </c>
      <c r="P7" s="2" t="s">
        <v>791</v>
      </c>
      <c r="Q7" s="2" t="s">
        <v>794</v>
      </c>
      <c r="R7" s="2" t="s">
        <v>795</v>
      </c>
      <c r="S7" s="10" t="s">
        <v>135</v>
      </c>
      <c r="T7" s="2" t="s">
        <v>775</v>
      </c>
      <c r="U7" s="2" t="s">
        <v>765</v>
      </c>
      <c r="V7" s="2" t="s">
        <v>765</v>
      </c>
      <c r="W7" s="2" t="s">
        <v>765</v>
      </c>
      <c r="X7" s="2" t="s">
        <v>448</v>
      </c>
      <c r="Y7" s="2" t="s">
        <v>796</v>
      </c>
    </row>
    <row r="8" spans="1:25" ht="34.9" x14ac:dyDescent="0.45">
      <c r="A8" s="2" t="s">
        <v>797</v>
      </c>
      <c r="B8" s="2" t="s">
        <v>727</v>
      </c>
      <c r="C8" s="2" t="s">
        <v>798</v>
      </c>
      <c r="D8" s="2" t="s">
        <v>93</v>
      </c>
      <c r="E8" s="2" t="s">
        <v>93</v>
      </c>
      <c r="F8" s="2" t="s">
        <v>769</v>
      </c>
      <c r="G8" s="2" t="s">
        <v>789</v>
      </c>
      <c r="H8" s="2" t="s">
        <v>799</v>
      </c>
      <c r="I8" s="2" t="s">
        <v>770</v>
      </c>
      <c r="J8" s="2" t="s">
        <v>800</v>
      </c>
      <c r="K8" s="2" t="s">
        <v>93</v>
      </c>
      <c r="L8" s="2" t="s">
        <v>771</v>
      </c>
      <c r="M8" s="2" t="s">
        <v>801</v>
      </c>
      <c r="N8" s="2" t="s">
        <v>773</v>
      </c>
      <c r="O8" s="2" t="s">
        <v>802</v>
      </c>
      <c r="P8" s="2" t="s">
        <v>800</v>
      </c>
      <c r="Q8" s="2" t="s">
        <v>458</v>
      </c>
      <c r="R8" s="2" t="s">
        <v>795</v>
      </c>
      <c r="S8" s="10" t="s">
        <v>135</v>
      </c>
      <c r="T8" s="2" t="s">
        <v>775</v>
      </c>
      <c r="U8" s="2" t="s">
        <v>765</v>
      </c>
      <c r="V8" s="2" t="s">
        <v>765</v>
      </c>
      <c r="W8" s="2" t="s">
        <v>765</v>
      </c>
      <c r="X8" s="2" t="s">
        <v>448</v>
      </c>
      <c r="Y8" s="2" t="s">
        <v>803</v>
      </c>
    </row>
    <row r="9" spans="1:25" ht="23.25" x14ac:dyDescent="0.45">
      <c r="A9" s="2" t="s">
        <v>804</v>
      </c>
      <c r="B9" s="2" t="s">
        <v>727</v>
      </c>
      <c r="C9" s="2" t="s">
        <v>805</v>
      </c>
      <c r="D9" s="2" t="s">
        <v>93</v>
      </c>
      <c r="E9" s="2" t="s">
        <v>93</v>
      </c>
      <c r="F9" s="2" t="s">
        <v>769</v>
      </c>
      <c r="G9" s="2" t="s">
        <v>789</v>
      </c>
      <c r="H9" s="2" t="s">
        <v>806</v>
      </c>
      <c r="I9" s="2" t="s">
        <v>770</v>
      </c>
      <c r="J9" s="2" t="s">
        <v>807</v>
      </c>
      <c r="K9" s="2" t="s">
        <v>93</v>
      </c>
      <c r="L9" s="2" t="s">
        <v>771</v>
      </c>
      <c r="M9" s="2" t="s">
        <v>808</v>
      </c>
      <c r="N9" s="2" t="s">
        <v>773</v>
      </c>
      <c r="O9" s="2" t="s">
        <v>809</v>
      </c>
      <c r="P9" s="2" t="s">
        <v>807</v>
      </c>
      <c r="Q9" s="2" t="s">
        <v>810</v>
      </c>
      <c r="R9" s="2" t="s">
        <v>795</v>
      </c>
      <c r="S9" s="10" t="s">
        <v>135</v>
      </c>
      <c r="T9" s="2" t="s">
        <v>775</v>
      </c>
      <c r="U9" s="2" t="s">
        <v>765</v>
      </c>
      <c r="V9" s="2" t="s">
        <v>765</v>
      </c>
      <c r="W9" s="2" t="s">
        <v>765</v>
      </c>
      <c r="X9" s="2" t="s">
        <v>448</v>
      </c>
      <c r="Y9" s="2"/>
    </row>
    <row r="10" spans="1:25" ht="23.25" x14ac:dyDescent="0.45">
      <c r="A10" s="2" t="s">
        <v>811</v>
      </c>
      <c r="B10" s="2" t="s">
        <v>727</v>
      </c>
      <c r="C10" s="2" t="s">
        <v>812</v>
      </c>
      <c r="D10" s="2" t="s">
        <v>93</v>
      </c>
      <c r="E10" s="2" t="s">
        <v>93</v>
      </c>
      <c r="F10" s="2" t="s">
        <v>769</v>
      </c>
      <c r="G10" s="2" t="s">
        <v>789</v>
      </c>
      <c r="H10" s="2" t="s">
        <v>813</v>
      </c>
      <c r="I10" s="2" t="s">
        <v>770</v>
      </c>
      <c r="J10" s="2" t="s">
        <v>93</v>
      </c>
      <c r="K10" s="2" t="s">
        <v>93</v>
      </c>
      <c r="L10" s="2" t="s">
        <v>771</v>
      </c>
      <c r="M10" s="2" t="s">
        <v>814</v>
      </c>
      <c r="N10" s="2" t="s">
        <v>773</v>
      </c>
      <c r="O10" s="2" t="s">
        <v>815</v>
      </c>
      <c r="P10" s="2" t="s">
        <v>93</v>
      </c>
      <c r="Q10" s="2" t="s">
        <v>816</v>
      </c>
      <c r="R10" s="2" t="s">
        <v>817</v>
      </c>
      <c r="S10" s="10" t="s">
        <v>135</v>
      </c>
      <c r="T10" s="2" t="s">
        <v>775</v>
      </c>
      <c r="U10" s="2" t="s">
        <v>765</v>
      </c>
      <c r="V10" s="2" t="s">
        <v>765</v>
      </c>
      <c r="W10" s="2" t="s">
        <v>765</v>
      </c>
      <c r="X10" s="2" t="s">
        <v>448</v>
      </c>
      <c r="Y10" s="2"/>
    </row>
    <row r="11" spans="1:25" ht="23.25" x14ac:dyDescent="0.45">
      <c r="A11" s="2" t="s">
        <v>818</v>
      </c>
      <c r="B11" s="2" t="s">
        <v>727</v>
      </c>
      <c r="C11" s="2" t="s">
        <v>819</v>
      </c>
      <c r="D11" s="2" t="s">
        <v>93</v>
      </c>
      <c r="E11" s="2" t="s">
        <v>93</v>
      </c>
      <c r="F11" s="2" t="s">
        <v>93</v>
      </c>
      <c r="G11" s="2" t="s">
        <v>93</v>
      </c>
      <c r="H11" s="2" t="s">
        <v>93</v>
      </c>
      <c r="I11" s="2" t="s">
        <v>546</v>
      </c>
      <c r="J11" s="2" t="s">
        <v>93</v>
      </c>
      <c r="K11" s="2" t="s">
        <v>93</v>
      </c>
      <c r="L11" s="2" t="s">
        <v>771</v>
      </c>
      <c r="M11" s="2" t="s">
        <v>820</v>
      </c>
      <c r="N11" s="2" t="s">
        <v>773</v>
      </c>
      <c r="O11" s="2" t="s">
        <v>821</v>
      </c>
      <c r="P11" s="2" t="s">
        <v>93</v>
      </c>
      <c r="Q11" s="2" t="s">
        <v>822</v>
      </c>
      <c r="R11" s="2" t="s">
        <v>823</v>
      </c>
      <c r="S11" s="14" t="s">
        <v>477</v>
      </c>
      <c r="T11" s="2" t="s">
        <v>775</v>
      </c>
      <c r="U11" s="2" t="s">
        <v>823</v>
      </c>
      <c r="V11" s="2" t="s">
        <v>823</v>
      </c>
      <c r="W11" s="2" t="s">
        <v>824</v>
      </c>
      <c r="X11" s="2" t="s">
        <v>448</v>
      </c>
      <c r="Y11" s="2" t="s">
        <v>825</v>
      </c>
    </row>
    <row r="12" spans="1:25" ht="23.25" x14ac:dyDescent="0.45">
      <c r="A12" s="2" t="s">
        <v>826</v>
      </c>
      <c r="B12" s="2" t="s">
        <v>727</v>
      </c>
      <c r="C12" s="2" t="s">
        <v>827</v>
      </c>
      <c r="D12" s="2" t="s">
        <v>93</v>
      </c>
      <c r="E12" s="2" t="s">
        <v>93</v>
      </c>
      <c r="F12" s="2" t="s">
        <v>93</v>
      </c>
      <c r="G12" s="2" t="s">
        <v>93</v>
      </c>
      <c r="H12" s="2" t="s">
        <v>93</v>
      </c>
      <c r="I12" s="2" t="s">
        <v>546</v>
      </c>
      <c r="J12" s="2" t="s">
        <v>93</v>
      </c>
      <c r="K12" s="2" t="s">
        <v>93</v>
      </c>
      <c r="L12" s="2" t="s">
        <v>771</v>
      </c>
      <c r="M12" s="2" t="s">
        <v>828</v>
      </c>
      <c r="N12" s="2" t="s">
        <v>773</v>
      </c>
      <c r="O12" s="2" t="s">
        <v>829</v>
      </c>
      <c r="P12" s="2" t="s">
        <v>93</v>
      </c>
      <c r="Q12" s="2" t="s">
        <v>822</v>
      </c>
      <c r="R12" s="2" t="s">
        <v>823</v>
      </c>
      <c r="S12" s="14" t="s">
        <v>477</v>
      </c>
      <c r="T12" s="2" t="s">
        <v>775</v>
      </c>
      <c r="U12" s="2" t="s">
        <v>823</v>
      </c>
      <c r="V12" s="2" t="s">
        <v>823</v>
      </c>
      <c r="W12" s="2" t="s">
        <v>823</v>
      </c>
      <c r="X12" s="2" t="s">
        <v>448</v>
      </c>
      <c r="Y12" s="2"/>
    </row>
    <row r="13" spans="1:25" ht="23.25" x14ac:dyDescent="0.45">
      <c r="A13" s="2" t="s">
        <v>830</v>
      </c>
      <c r="B13" s="2" t="s">
        <v>727</v>
      </c>
      <c r="C13" s="2" t="s">
        <v>831</v>
      </c>
      <c r="D13" s="2" t="s">
        <v>93</v>
      </c>
      <c r="E13" s="2" t="s">
        <v>93</v>
      </c>
      <c r="F13" s="2" t="s">
        <v>93</v>
      </c>
      <c r="G13" s="2" t="s">
        <v>93</v>
      </c>
      <c r="H13" s="2" t="s">
        <v>93</v>
      </c>
      <c r="I13" s="2" t="s">
        <v>546</v>
      </c>
      <c r="J13" s="2" t="s">
        <v>93</v>
      </c>
      <c r="K13" s="2" t="s">
        <v>93</v>
      </c>
      <c r="L13" s="2" t="s">
        <v>771</v>
      </c>
      <c r="M13" s="2" t="s">
        <v>832</v>
      </c>
      <c r="N13" s="2" t="s">
        <v>773</v>
      </c>
      <c r="O13" s="2" t="s">
        <v>833</v>
      </c>
      <c r="P13" s="2" t="s">
        <v>93</v>
      </c>
      <c r="Q13" s="2" t="s">
        <v>822</v>
      </c>
      <c r="R13" s="2" t="s">
        <v>834</v>
      </c>
      <c r="S13" s="14" t="s">
        <v>477</v>
      </c>
      <c r="T13" s="2" t="s">
        <v>775</v>
      </c>
      <c r="U13" s="2" t="s">
        <v>834</v>
      </c>
      <c r="V13" s="2" t="s">
        <v>834</v>
      </c>
      <c r="W13" s="2" t="s">
        <v>834</v>
      </c>
      <c r="X13" s="2" t="s">
        <v>448</v>
      </c>
      <c r="Y13" s="2"/>
    </row>
    <row r="14" spans="1:25" ht="34.9" x14ac:dyDescent="0.45">
      <c r="A14" s="2" t="s">
        <v>835</v>
      </c>
      <c r="B14" s="2" t="s">
        <v>727</v>
      </c>
      <c r="C14" s="2" t="s">
        <v>836</v>
      </c>
      <c r="D14" s="2" t="s">
        <v>93</v>
      </c>
      <c r="E14" s="2" t="s">
        <v>93</v>
      </c>
      <c r="F14" s="2" t="s">
        <v>757</v>
      </c>
      <c r="G14" s="2" t="s">
        <v>837</v>
      </c>
      <c r="H14" s="2" t="s">
        <v>838</v>
      </c>
      <c r="I14" s="2" t="s">
        <v>431</v>
      </c>
      <c r="J14" s="2" t="s">
        <v>839</v>
      </c>
      <c r="K14" s="2" t="s">
        <v>93</v>
      </c>
      <c r="L14" s="2" t="s">
        <v>748</v>
      </c>
      <c r="M14" s="2" t="s">
        <v>840</v>
      </c>
      <c r="N14" s="2" t="s">
        <v>271</v>
      </c>
      <c r="O14" s="2" t="s">
        <v>841</v>
      </c>
      <c r="P14" s="2" t="s">
        <v>839</v>
      </c>
      <c r="Q14" s="2" t="s">
        <v>93</v>
      </c>
      <c r="R14" s="2" t="s">
        <v>93</v>
      </c>
      <c r="S14" s="13" t="s">
        <v>129</v>
      </c>
      <c r="T14" s="2" t="s">
        <v>842</v>
      </c>
      <c r="U14" s="2" t="s">
        <v>843</v>
      </c>
      <c r="V14" s="2" t="s">
        <v>843</v>
      </c>
      <c r="W14" s="2" t="s">
        <v>739</v>
      </c>
      <c r="X14" s="2" t="s">
        <v>448</v>
      </c>
      <c r="Y14" s="2" t="s">
        <v>844</v>
      </c>
    </row>
    <row r="15" spans="1:25" ht="34.9" x14ac:dyDescent="0.45">
      <c r="A15" s="2" t="s">
        <v>845</v>
      </c>
      <c r="B15" s="2" t="s">
        <v>727</v>
      </c>
      <c r="C15" s="2" t="s">
        <v>846</v>
      </c>
      <c r="D15" s="2" t="s">
        <v>729</v>
      </c>
      <c r="E15" s="2" t="s">
        <v>847</v>
      </c>
      <c r="F15" s="2" t="s">
        <v>848</v>
      </c>
      <c r="G15" s="2" t="s">
        <v>93</v>
      </c>
      <c r="H15" s="2" t="s">
        <v>849</v>
      </c>
      <c r="I15" s="2" t="s">
        <v>546</v>
      </c>
      <c r="J15" s="2" t="s">
        <v>93</v>
      </c>
      <c r="K15" s="2" t="s">
        <v>93</v>
      </c>
      <c r="L15" s="2" t="s">
        <v>748</v>
      </c>
      <c r="M15" s="2" t="s">
        <v>850</v>
      </c>
      <c r="N15" s="2" t="s">
        <v>851</v>
      </c>
      <c r="O15" s="2" t="s">
        <v>852</v>
      </c>
      <c r="P15" s="2" t="s">
        <v>853</v>
      </c>
      <c r="Q15" s="2" t="s">
        <v>854</v>
      </c>
      <c r="R15" s="2" t="s">
        <v>93</v>
      </c>
      <c r="S15" s="14" t="s">
        <v>477</v>
      </c>
      <c r="T15" s="2" t="s">
        <v>855</v>
      </c>
      <c r="U15" s="2" t="s">
        <v>856</v>
      </c>
      <c r="V15" s="2" t="s">
        <v>306</v>
      </c>
      <c r="W15" s="2" t="s">
        <v>857</v>
      </c>
      <c r="X15" s="2" t="s">
        <v>448</v>
      </c>
      <c r="Y15" s="2" t="s">
        <v>858</v>
      </c>
    </row>
    <row r="16" spans="1:25" ht="58.15" x14ac:dyDescent="0.45">
      <c r="A16" s="2" t="s">
        <v>859</v>
      </c>
      <c r="B16" s="2" t="s">
        <v>621</v>
      </c>
      <c r="C16" s="2" t="s">
        <v>860</v>
      </c>
      <c r="D16" s="2" t="s">
        <v>729</v>
      </c>
      <c r="E16" s="2" t="s">
        <v>861</v>
      </c>
      <c r="F16" s="2" t="s">
        <v>93</v>
      </c>
      <c r="G16" s="2" t="s">
        <v>93</v>
      </c>
      <c r="H16" s="2" t="s">
        <v>93</v>
      </c>
      <c r="I16" s="2" t="s">
        <v>862</v>
      </c>
      <c r="J16" s="2" t="s">
        <v>93</v>
      </c>
      <c r="K16" s="2" t="s">
        <v>93</v>
      </c>
      <c r="L16" s="2" t="s">
        <v>729</v>
      </c>
      <c r="M16" s="2" t="s">
        <v>863</v>
      </c>
      <c r="N16" s="2" t="s">
        <v>734</v>
      </c>
      <c r="O16" s="2" t="s">
        <v>864</v>
      </c>
      <c r="P16" s="2" t="s">
        <v>93</v>
      </c>
      <c r="Q16" s="2" t="s">
        <v>865</v>
      </c>
      <c r="R16" s="2" t="s">
        <v>866</v>
      </c>
      <c r="S16" s="10" t="s">
        <v>135</v>
      </c>
      <c r="T16" s="2" t="s">
        <v>867</v>
      </c>
      <c r="U16" s="2" t="s">
        <v>868</v>
      </c>
      <c r="V16" s="2" t="s">
        <v>869</v>
      </c>
      <c r="W16" s="2" t="s">
        <v>870</v>
      </c>
      <c r="X16" s="2" t="s">
        <v>448</v>
      </c>
      <c r="Y16" s="2" t="s">
        <v>871</v>
      </c>
    </row>
    <row r="17" spans="1:25" ht="34.9" x14ac:dyDescent="0.45">
      <c r="A17" s="2" t="s">
        <v>872</v>
      </c>
      <c r="B17" s="2" t="s">
        <v>621</v>
      </c>
      <c r="C17" s="2" t="s">
        <v>873</v>
      </c>
      <c r="D17" s="2" t="s">
        <v>729</v>
      </c>
      <c r="E17" s="2" t="s">
        <v>874</v>
      </c>
      <c r="F17" s="2" t="s">
        <v>875</v>
      </c>
      <c r="G17" s="2" t="s">
        <v>93</v>
      </c>
      <c r="H17" s="2" t="s">
        <v>93</v>
      </c>
      <c r="I17" s="2" t="s">
        <v>717</v>
      </c>
      <c r="J17" s="2" t="s">
        <v>780</v>
      </c>
      <c r="K17" s="2" t="s">
        <v>93</v>
      </c>
      <c r="L17" s="2" t="s">
        <v>729</v>
      </c>
      <c r="M17" s="2" t="s">
        <v>876</v>
      </c>
      <c r="N17" s="2" t="s">
        <v>734</v>
      </c>
      <c r="O17" s="2" t="s">
        <v>877</v>
      </c>
      <c r="P17" s="2" t="s">
        <v>783</v>
      </c>
      <c r="Q17" s="2" t="s">
        <v>784</v>
      </c>
      <c r="R17" s="2" t="s">
        <v>93</v>
      </c>
      <c r="S17" s="10" t="s">
        <v>135</v>
      </c>
      <c r="T17" s="2" t="s">
        <v>878</v>
      </c>
      <c r="U17" s="2" t="s">
        <v>93</v>
      </c>
      <c r="V17" s="2" t="s">
        <v>93</v>
      </c>
      <c r="W17" s="2" t="s">
        <v>879</v>
      </c>
      <c r="X17" s="2" t="s">
        <v>448</v>
      </c>
      <c r="Y17" s="2"/>
    </row>
    <row r="18" spans="1:25" x14ac:dyDescent="0.45">
      <c r="A18" s="2" t="s">
        <v>880</v>
      </c>
      <c r="B18" s="2" t="s">
        <v>621</v>
      </c>
      <c r="C18" s="2" t="s">
        <v>881</v>
      </c>
      <c r="D18" s="2" t="s">
        <v>729</v>
      </c>
      <c r="E18" s="2" t="s">
        <v>702</v>
      </c>
      <c r="F18" s="2" t="s">
        <v>93</v>
      </c>
      <c r="G18" s="2" t="s">
        <v>93</v>
      </c>
      <c r="H18" s="2" t="s">
        <v>93</v>
      </c>
      <c r="I18" s="2" t="s">
        <v>391</v>
      </c>
      <c r="J18" s="2" t="s">
        <v>689</v>
      </c>
      <c r="K18" s="2" t="s">
        <v>93</v>
      </c>
      <c r="L18" s="2" t="s">
        <v>729</v>
      </c>
      <c r="M18" s="2" t="s">
        <v>882</v>
      </c>
      <c r="N18" s="2" t="s">
        <v>734</v>
      </c>
      <c r="O18" s="2" t="s">
        <v>706</v>
      </c>
      <c r="P18" s="2" t="s">
        <v>93</v>
      </c>
      <c r="Q18" s="2" t="s">
        <v>774</v>
      </c>
      <c r="R18" s="2" t="s">
        <v>93</v>
      </c>
      <c r="S18" s="10" t="s">
        <v>135</v>
      </c>
      <c r="T18" s="2" t="s">
        <v>878</v>
      </c>
      <c r="U18" s="2" t="s">
        <v>883</v>
      </c>
      <c r="V18" s="2" t="s">
        <v>884</v>
      </c>
      <c r="W18" s="2" t="s">
        <v>885</v>
      </c>
      <c r="X18" s="2" t="s">
        <v>448</v>
      </c>
      <c r="Y18" s="2" t="s">
        <v>886</v>
      </c>
    </row>
  </sheetData>
  <autoFilter ref="A1:Y18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6" customWidth="1"/>
    <col min="2" max="2" width="8" customWidth="1"/>
    <col min="3" max="3" width="22" customWidth="1"/>
    <col min="4" max="4" width="12" customWidth="1"/>
    <col min="5" max="5" width="30" customWidth="1"/>
    <col min="6" max="6" width="10" customWidth="1"/>
    <col min="7" max="7" width="11" customWidth="1"/>
    <col min="8" max="8" width="30" customWidth="1"/>
    <col min="9" max="9" width="16" customWidth="1"/>
    <col min="10" max="10" width="9" customWidth="1"/>
    <col min="11" max="11" width="26" customWidth="1"/>
    <col min="12" max="12" width="16" customWidth="1"/>
    <col min="13" max="14" width="26" customWidth="1"/>
    <col min="15" max="15" width="30" customWidth="1"/>
    <col min="16" max="16" width="10" customWidth="1"/>
    <col min="17" max="17" width="22" customWidth="1"/>
    <col min="18" max="18" width="24" customWidth="1"/>
    <col min="19" max="19" width="8" customWidth="1"/>
    <col min="20" max="20" width="30" customWidth="1"/>
    <col min="21" max="24" width="26" customWidth="1"/>
    <col min="25" max="25" width="40" customWidth="1"/>
  </cols>
  <sheetData>
    <row r="1" spans="1:25" ht="26.25" x14ac:dyDescent="0.45">
      <c r="A1" s="1" t="s">
        <v>359</v>
      </c>
      <c r="B1" s="1" t="s">
        <v>360</v>
      </c>
      <c r="C1" s="1" t="s">
        <v>361</v>
      </c>
      <c r="D1" s="1" t="s">
        <v>362</v>
      </c>
      <c r="E1" s="1" t="s">
        <v>363</v>
      </c>
      <c r="F1" s="1" t="s">
        <v>364</v>
      </c>
      <c r="G1" s="1" t="s">
        <v>365</v>
      </c>
      <c r="H1" s="1" t="s">
        <v>366</v>
      </c>
      <c r="I1" s="1" t="s">
        <v>367</v>
      </c>
      <c r="J1" s="1" t="s">
        <v>368</v>
      </c>
      <c r="K1" s="1" t="s">
        <v>369</v>
      </c>
      <c r="L1" s="1" t="s">
        <v>370</v>
      </c>
      <c r="M1" s="1" t="s">
        <v>371</v>
      </c>
      <c r="N1" s="1" t="s">
        <v>372</v>
      </c>
      <c r="O1" s="1" t="s">
        <v>373</v>
      </c>
      <c r="P1" s="1" t="s">
        <v>374</v>
      </c>
      <c r="Q1" s="1" t="s">
        <v>375</v>
      </c>
      <c r="R1" s="1" t="s">
        <v>376</v>
      </c>
      <c r="S1" s="1" t="s">
        <v>377</v>
      </c>
      <c r="T1" s="1" t="s">
        <v>378</v>
      </c>
      <c r="U1" s="1" t="s">
        <v>379</v>
      </c>
      <c r="V1" s="1" t="s">
        <v>380</v>
      </c>
      <c r="W1" s="1" t="s">
        <v>381</v>
      </c>
      <c r="X1" s="1" t="s">
        <v>382</v>
      </c>
      <c r="Y1" s="1" t="s">
        <v>383</v>
      </c>
    </row>
    <row r="2" spans="1:25" ht="58.15" x14ac:dyDescent="0.45">
      <c r="A2" s="2" t="s">
        <v>887</v>
      </c>
      <c r="B2" s="2" t="s">
        <v>888</v>
      </c>
      <c r="C2" s="2" t="s">
        <v>889</v>
      </c>
      <c r="D2" s="2" t="s">
        <v>890</v>
      </c>
      <c r="E2" s="2" t="s">
        <v>891</v>
      </c>
      <c r="F2" s="2" t="s">
        <v>892</v>
      </c>
      <c r="G2" s="2" t="s">
        <v>893</v>
      </c>
      <c r="H2" s="2" t="s">
        <v>894</v>
      </c>
      <c r="I2" s="2" t="s">
        <v>391</v>
      </c>
      <c r="J2" s="2" t="s">
        <v>392</v>
      </c>
      <c r="K2" s="2" t="s">
        <v>93</v>
      </c>
      <c r="L2" s="2" t="s">
        <v>895</v>
      </c>
      <c r="M2" s="2" t="s">
        <v>896</v>
      </c>
      <c r="N2" s="2" t="s">
        <v>897</v>
      </c>
      <c r="O2" s="2" t="s">
        <v>898</v>
      </c>
      <c r="P2" s="2" t="s">
        <v>93</v>
      </c>
      <c r="Q2" s="2" t="s">
        <v>736</v>
      </c>
      <c r="R2" s="2" t="s">
        <v>93</v>
      </c>
      <c r="S2" s="14" t="s">
        <v>477</v>
      </c>
      <c r="T2" s="2" t="s">
        <v>878</v>
      </c>
      <c r="U2" s="2" t="s">
        <v>899</v>
      </c>
      <c r="V2" s="2" t="s">
        <v>900</v>
      </c>
      <c r="W2" s="2" t="s">
        <v>901</v>
      </c>
      <c r="X2" s="2" t="s">
        <v>448</v>
      </c>
      <c r="Y2" s="2" t="s">
        <v>902</v>
      </c>
    </row>
    <row r="3" spans="1:25" ht="58.15" x14ac:dyDescent="0.45">
      <c r="A3" s="2" t="s">
        <v>903</v>
      </c>
      <c r="B3" s="2" t="s">
        <v>888</v>
      </c>
      <c r="C3" s="2" t="s">
        <v>904</v>
      </c>
      <c r="D3" s="2" t="s">
        <v>729</v>
      </c>
      <c r="E3" s="2" t="s">
        <v>905</v>
      </c>
      <c r="F3" s="2" t="s">
        <v>906</v>
      </c>
      <c r="G3" s="2" t="s">
        <v>93</v>
      </c>
      <c r="H3" s="2" t="s">
        <v>907</v>
      </c>
      <c r="I3" s="2" t="s">
        <v>391</v>
      </c>
      <c r="J3" s="2" t="s">
        <v>392</v>
      </c>
      <c r="K3" s="2" t="s">
        <v>93</v>
      </c>
      <c r="L3" s="2" t="s">
        <v>895</v>
      </c>
      <c r="M3" s="2" t="s">
        <v>908</v>
      </c>
      <c r="N3" s="2" t="s">
        <v>897</v>
      </c>
      <c r="O3" s="2" t="s">
        <v>909</v>
      </c>
      <c r="P3" s="2" t="s">
        <v>783</v>
      </c>
      <c r="Q3" s="2" t="s">
        <v>910</v>
      </c>
      <c r="R3" s="2" t="s">
        <v>93</v>
      </c>
      <c r="S3" s="10" t="s">
        <v>135</v>
      </c>
      <c r="T3" s="2" t="s">
        <v>878</v>
      </c>
      <c r="U3" s="2" t="s">
        <v>911</v>
      </c>
      <c r="V3" s="2" t="s">
        <v>912</v>
      </c>
      <c r="W3" s="2" t="s">
        <v>913</v>
      </c>
      <c r="X3" s="2" t="s">
        <v>448</v>
      </c>
      <c r="Y3" s="2" t="s">
        <v>914</v>
      </c>
    </row>
    <row r="4" spans="1:25" ht="46.5" x14ac:dyDescent="0.45">
      <c r="A4" s="2" t="s">
        <v>915</v>
      </c>
      <c r="B4" s="2" t="s">
        <v>888</v>
      </c>
      <c r="C4" s="2" t="s">
        <v>916</v>
      </c>
      <c r="D4" s="2" t="s">
        <v>917</v>
      </c>
      <c r="E4" s="2" t="s">
        <v>918</v>
      </c>
      <c r="F4" s="2" t="s">
        <v>919</v>
      </c>
      <c r="G4" s="2" t="s">
        <v>893</v>
      </c>
      <c r="H4" s="2" t="s">
        <v>918</v>
      </c>
      <c r="I4" s="2" t="s">
        <v>624</v>
      </c>
      <c r="J4" s="2" t="s">
        <v>839</v>
      </c>
      <c r="K4" s="2" t="s">
        <v>93</v>
      </c>
      <c r="L4" s="2" t="s">
        <v>920</v>
      </c>
      <c r="M4" s="2" t="s">
        <v>921</v>
      </c>
      <c r="N4" s="2" t="s">
        <v>349</v>
      </c>
      <c r="O4" s="2" t="s">
        <v>922</v>
      </c>
      <c r="P4" s="2" t="s">
        <v>839</v>
      </c>
      <c r="Q4" s="2" t="s">
        <v>458</v>
      </c>
      <c r="R4" s="2" t="s">
        <v>923</v>
      </c>
      <c r="S4" s="10" t="s">
        <v>135</v>
      </c>
      <c r="T4" s="2" t="s">
        <v>924</v>
      </c>
      <c r="U4" s="2" t="s">
        <v>817</v>
      </c>
      <c r="V4" s="2" t="s">
        <v>925</v>
      </c>
      <c r="W4" s="2" t="s">
        <v>817</v>
      </c>
      <c r="X4" s="2" t="s">
        <v>817</v>
      </c>
      <c r="Y4" s="2" t="s">
        <v>926</v>
      </c>
    </row>
    <row r="5" spans="1:25" ht="46.5" x14ac:dyDescent="0.45">
      <c r="A5" s="2" t="s">
        <v>927</v>
      </c>
      <c r="B5" s="2" t="s">
        <v>888</v>
      </c>
      <c r="C5" s="2" t="s">
        <v>928</v>
      </c>
      <c r="D5" s="2" t="s">
        <v>929</v>
      </c>
      <c r="E5" s="2" t="s">
        <v>930</v>
      </c>
      <c r="F5" s="2" t="s">
        <v>931</v>
      </c>
      <c r="G5" s="2" t="s">
        <v>893</v>
      </c>
      <c r="H5" s="2" t="s">
        <v>930</v>
      </c>
      <c r="I5" s="2" t="s">
        <v>624</v>
      </c>
      <c r="J5" s="2" t="s">
        <v>93</v>
      </c>
      <c r="K5" s="2" t="s">
        <v>93</v>
      </c>
      <c r="L5" s="2" t="s">
        <v>932</v>
      </c>
      <c r="M5" s="2" t="s">
        <v>933</v>
      </c>
      <c r="N5" s="2" t="s">
        <v>349</v>
      </c>
      <c r="O5" s="2" t="s">
        <v>934</v>
      </c>
      <c r="P5" s="2" t="s">
        <v>93</v>
      </c>
      <c r="Q5" s="2" t="s">
        <v>458</v>
      </c>
      <c r="R5" s="2" t="s">
        <v>935</v>
      </c>
      <c r="S5" s="10" t="s">
        <v>135</v>
      </c>
      <c r="T5" s="2" t="s">
        <v>936</v>
      </c>
      <c r="U5" s="2" t="s">
        <v>937</v>
      </c>
      <c r="V5" s="2" t="s">
        <v>937</v>
      </c>
      <c r="W5" s="2" t="s">
        <v>937</v>
      </c>
      <c r="X5" s="2" t="s">
        <v>937</v>
      </c>
      <c r="Y5" s="2"/>
    </row>
    <row r="6" spans="1:25" ht="46.5" x14ac:dyDescent="0.45">
      <c r="A6" s="2" t="s">
        <v>938</v>
      </c>
      <c r="B6" s="2" t="s">
        <v>888</v>
      </c>
      <c r="C6" s="2" t="s">
        <v>939</v>
      </c>
      <c r="D6" s="2" t="s">
        <v>929</v>
      </c>
      <c r="E6" s="2" t="s">
        <v>940</v>
      </c>
      <c r="F6" s="2" t="s">
        <v>931</v>
      </c>
      <c r="G6" s="2" t="s">
        <v>893</v>
      </c>
      <c r="H6" s="2" t="s">
        <v>940</v>
      </c>
      <c r="I6" s="2" t="s">
        <v>624</v>
      </c>
      <c r="J6" s="2" t="s">
        <v>93</v>
      </c>
      <c r="K6" s="2" t="s">
        <v>93</v>
      </c>
      <c r="L6" s="2" t="s">
        <v>932</v>
      </c>
      <c r="M6" s="2" t="s">
        <v>941</v>
      </c>
      <c r="N6" s="2" t="s">
        <v>349</v>
      </c>
      <c r="O6" s="2" t="s">
        <v>942</v>
      </c>
      <c r="P6" s="2" t="s">
        <v>93</v>
      </c>
      <c r="Q6" s="2" t="s">
        <v>458</v>
      </c>
      <c r="R6" s="2" t="s">
        <v>935</v>
      </c>
      <c r="S6" s="10" t="s">
        <v>135</v>
      </c>
      <c r="T6" s="2" t="s">
        <v>936</v>
      </c>
      <c r="U6" s="2" t="s">
        <v>943</v>
      </c>
      <c r="V6" s="2" t="s">
        <v>944</v>
      </c>
      <c r="W6" s="2" t="s">
        <v>945</v>
      </c>
      <c r="X6" s="2" t="s">
        <v>448</v>
      </c>
      <c r="Y6" s="2" t="s">
        <v>946</v>
      </c>
    </row>
    <row r="7" spans="1:25" ht="58.15" x14ac:dyDescent="0.45">
      <c r="A7" s="2" t="s">
        <v>947</v>
      </c>
      <c r="B7" s="2" t="s">
        <v>621</v>
      </c>
      <c r="C7" s="2" t="s">
        <v>948</v>
      </c>
      <c r="D7" s="2" t="s">
        <v>929</v>
      </c>
      <c r="E7" s="2" t="s">
        <v>949</v>
      </c>
      <c r="F7" s="2" t="s">
        <v>93</v>
      </c>
      <c r="G7" s="2" t="s">
        <v>93</v>
      </c>
      <c r="H7" s="2" t="s">
        <v>93</v>
      </c>
      <c r="I7" s="2" t="s">
        <v>950</v>
      </c>
      <c r="J7" s="2" t="s">
        <v>392</v>
      </c>
      <c r="K7" s="2" t="s">
        <v>93</v>
      </c>
      <c r="L7" s="2" t="s">
        <v>932</v>
      </c>
      <c r="M7" s="2" t="s">
        <v>951</v>
      </c>
      <c r="N7" s="2" t="s">
        <v>952</v>
      </c>
      <c r="O7" s="2" t="s">
        <v>953</v>
      </c>
      <c r="P7" s="2" t="s">
        <v>93</v>
      </c>
      <c r="Q7" s="2" t="s">
        <v>774</v>
      </c>
      <c r="R7" s="2" t="s">
        <v>954</v>
      </c>
      <c r="S7" s="10" t="s">
        <v>135</v>
      </c>
      <c r="T7" s="2" t="s">
        <v>955</v>
      </c>
      <c r="U7" s="2" t="s">
        <v>913</v>
      </c>
      <c r="V7" s="2" t="s">
        <v>913</v>
      </c>
      <c r="W7" s="2" t="s">
        <v>913</v>
      </c>
      <c r="X7" s="2" t="s">
        <v>448</v>
      </c>
      <c r="Y7" s="2"/>
    </row>
    <row r="8" spans="1:25" ht="46.5" x14ac:dyDescent="0.45">
      <c r="A8" s="2" t="s">
        <v>956</v>
      </c>
      <c r="B8" s="2" t="s">
        <v>888</v>
      </c>
      <c r="C8" s="2" t="s">
        <v>957</v>
      </c>
      <c r="D8" s="2" t="s">
        <v>929</v>
      </c>
      <c r="E8" s="2" t="s">
        <v>958</v>
      </c>
      <c r="F8" s="2" t="s">
        <v>959</v>
      </c>
      <c r="G8" s="2" t="s">
        <v>893</v>
      </c>
      <c r="H8" s="2" t="s">
        <v>960</v>
      </c>
      <c r="I8" s="2" t="s">
        <v>431</v>
      </c>
      <c r="J8" s="2" t="s">
        <v>392</v>
      </c>
      <c r="K8" s="2" t="s">
        <v>93</v>
      </c>
      <c r="L8" s="2" t="s">
        <v>93</v>
      </c>
      <c r="M8" s="2" t="s">
        <v>93</v>
      </c>
      <c r="N8" s="2" t="s">
        <v>93</v>
      </c>
      <c r="O8" s="2" t="s">
        <v>93</v>
      </c>
      <c r="P8" s="2" t="s">
        <v>93</v>
      </c>
      <c r="Q8" s="2" t="s">
        <v>93</v>
      </c>
      <c r="R8" s="2" t="s">
        <v>93</v>
      </c>
      <c r="S8" s="13" t="s">
        <v>129</v>
      </c>
      <c r="T8" s="2" t="s">
        <v>93</v>
      </c>
      <c r="U8" s="2" t="s">
        <v>350</v>
      </c>
      <c r="V8" s="2" t="s">
        <v>350</v>
      </c>
      <c r="W8" s="2" t="s">
        <v>93</v>
      </c>
      <c r="X8" s="2" t="s">
        <v>93</v>
      </c>
      <c r="Y8" s="2" t="s">
        <v>961</v>
      </c>
    </row>
    <row r="9" spans="1:25" ht="46.5" x14ac:dyDescent="0.45">
      <c r="A9" s="2" t="s">
        <v>962</v>
      </c>
      <c r="B9" s="2" t="s">
        <v>888</v>
      </c>
      <c r="C9" s="2" t="s">
        <v>963</v>
      </c>
      <c r="D9" s="2" t="s">
        <v>929</v>
      </c>
      <c r="E9" s="2" t="s">
        <v>964</v>
      </c>
      <c r="F9" s="2" t="s">
        <v>959</v>
      </c>
      <c r="G9" s="2" t="s">
        <v>893</v>
      </c>
      <c r="H9" s="2" t="s">
        <v>965</v>
      </c>
      <c r="I9" s="2" t="s">
        <v>431</v>
      </c>
      <c r="J9" s="2" t="s">
        <v>839</v>
      </c>
      <c r="K9" s="2" t="s">
        <v>93</v>
      </c>
      <c r="L9" s="2" t="s">
        <v>93</v>
      </c>
      <c r="M9" s="2" t="s">
        <v>93</v>
      </c>
      <c r="N9" s="2" t="s">
        <v>93</v>
      </c>
      <c r="O9" s="2" t="s">
        <v>93</v>
      </c>
      <c r="P9" s="2" t="s">
        <v>93</v>
      </c>
      <c r="Q9" s="2" t="s">
        <v>93</v>
      </c>
      <c r="R9" s="2" t="s">
        <v>93</v>
      </c>
      <c r="S9" s="13" t="s">
        <v>129</v>
      </c>
      <c r="T9" s="2" t="s">
        <v>93</v>
      </c>
      <c r="U9" s="2" t="s">
        <v>966</v>
      </c>
      <c r="V9" s="2" t="s">
        <v>966</v>
      </c>
      <c r="W9" s="2" t="s">
        <v>93</v>
      </c>
      <c r="X9" s="2" t="s">
        <v>93</v>
      </c>
      <c r="Y9" s="2" t="s">
        <v>967</v>
      </c>
    </row>
    <row r="10" spans="1:25" ht="46.5" x14ac:dyDescent="0.45">
      <c r="A10" s="2" t="s">
        <v>968</v>
      </c>
      <c r="B10" s="2" t="s">
        <v>888</v>
      </c>
      <c r="C10" s="2" t="s">
        <v>969</v>
      </c>
      <c r="D10" s="2" t="s">
        <v>929</v>
      </c>
      <c r="E10" s="2" t="s">
        <v>970</v>
      </c>
      <c r="F10" s="2" t="s">
        <v>959</v>
      </c>
      <c r="G10" s="2" t="s">
        <v>893</v>
      </c>
      <c r="H10" s="2" t="s">
        <v>971</v>
      </c>
      <c r="I10" s="2" t="s">
        <v>431</v>
      </c>
      <c r="J10" s="2" t="s">
        <v>972</v>
      </c>
      <c r="K10" s="2" t="s">
        <v>93</v>
      </c>
      <c r="L10" s="2" t="s">
        <v>93</v>
      </c>
      <c r="M10" s="2" t="s">
        <v>93</v>
      </c>
      <c r="N10" s="2" t="s">
        <v>973</v>
      </c>
      <c r="O10" s="2" t="s">
        <v>93</v>
      </c>
      <c r="P10" s="2" t="s">
        <v>93</v>
      </c>
      <c r="Q10" s="2" t="s">
        <v>93</v>
      </c>
      <c r="R10" s="2" t="s">
        <v>93</v>
      </c>
      <c r="S10" s="13" t="s">
        <v>129</v>
      </c>
      <c r="T10" s="2" t="s">
        <v>93</v>
      </c>
      <c r="U10" s="2" t="s">
        <v>974</v>
      </c>
      <c r="V10" s="2" t="s">
        <v>974</v>
      </c>
      <c r="W10" s="2" t="s">
        <v>93</v>
      </c>
      <c r="X10" s="2" t="s">
        <v>93</v>
      </c>
      <c r="Y10" s="2"/>
    </row>
    <row r="11" spans="1:25" ht="46.5" x14ac:dyDescent="0.45">
      <c r="A11" s="2" t="s">
        <v>975</v>
      </c>
      <c r="B11" s="2" t="s">
        <v>888</v>
      </c>
      <c r="C11" s="2" t="s">
        <v>976</v>
      </c>
      <c r="D11" s="2" t="s">
        <v>929</v>
      </c>
      <c r="E11" s="2" t="s">
        <v>977</v>
      </c>
      <c r="F11" s="2" t="s">
        <v>959</v>
      </c>
      <c r="G11" s="2" t="s">
        <v>893</v>
      </c>
      <c r="H11" s="2" t="s">
        <v>978</v>
      </c>
      <c r="I11" s="2" t="s">
        <v>431</v>
      </c>
      <c r="J11" s="2" t="s">
        <v>93</v>
      </c>
      <c r="K11" s="2" t="s">
        <v>93</v>
      </c>
      <c r="L11" s="2" t="s">
        <v>93</v>
      </c>
      <c r="M11" s="2" t="s">
        <v>93</v>
      </c>
      <c r="N11" s="2" t="s">
        <v>93</v>
      </c>
      <c r="O11" s="2" t="s">
        <v>93</v>
      </c>
      <c r="P11" s="2" t="s">
        <v>93</v>
      </c>
      <c r="Q11" s="2" t="s">
        <v>93</v>
      </c>
      <c r="R11" s="2" t="s">
        <v>93</v>
      </c>
      <c r="S11" s="13" t="s">
        <v>129</v>
      </c>
      <c r="T11" s="2" t="s">
        <v>93</v>
      </c>
      <c r="U11" s="2" t="s">
        <v>979</v>
      </c>
      <c r="V11" s="2" t="s">
        <v>979</v>
      </c>
      <c r="W11" s="2" t="s">
        <v>93</v>
      </c>
      <c r="X11" s="2" t="s">
        <v>93</v>
      </c>
      <c r="Y11" s="2" t="s">
        <v>980</v>
      </c>
    </row>
    <row r="12" spans="1:25" ht="46.5" x14ac:dyDescent="0.45">
      <c r="A12" s="2" t="s">
        <v>981</v>
      </c>
      <c r="B12" s="2" t="s">
        <v>888</v>
      </c>
      <c r="C12" s="2" t="s">
        <v>982</v>
      </c>
      <c r="D12" s="2" t="s">
        <v>895</v>
      </c>
      <c r="E12" s="2" t="s">
        <v>983</v>
      </c>
      <c r="F12" s="2" t="s">
        <v>892</v>
      </c>
      <c r="G12" s="2" t="s">
        <v>893</v>
      </c>
      <c r="H12" s="2" t="s">
        <v>984</v>
      </c>
      <c r="I12" s="2" t="s">
        <v>985</v>
      </c>
      <c r="J12" s="2" t="s">
        <v>780</v>
      </c>
      <c r="K12" s="2" t="s">
        <v>93</v>
      </c>
      <c r="L12" s="2" t="s">
        <v>895</v>
      </c>
      <c r="M12" s="2" t="s">
        <v>986</v>
      </c>
      <c r="N12" s="2" t="s">
        <v>897</v>
      </c>
      <c r="O12" s="2" t="s">
        <v>877</v>
      </c>
      <c r="P12" s="2" t="s">
        <v>783</v>
      </c>
      <c r="Q12" s="2" t="s">
        <v>784</v>
      </c>
      <c r="R12" s="2" t="s">
        <v>93</v>
      </c>
      <c r="S12" s="14" t="s">
        <v>477</v>
      </c>
      <c r="T12" s="2" t="s">
        <v>878</v>
      </c>
      <c r="U12" s="2" t="s">
        <v>987</v>
      </c>
      <c r="V12" s="2" t="s">
        <v>988</v>
      </c>
      <c r="W12" s="2" t="s">
        <v>93</v>
      </c>
      <c r="X12" s="2" t="s">
        <v>93</v>
      </c>
      <c r="Y12" s="2" t="s">
        <v>989</v>
      </c>
    </row>
    <row r="13" spans="1:25" ht="46.5" x14ac:dyDescent="0.45">
      <c r="A13" s="2" t="s">
        <v>990</v>
      </c>
      <c r="B13" s="2" t="s">
        <v>888</v>
      </c>
      <c r="C13" s="2" t="s">
        <v>991</v>
      </c>
      <c r="D13" s="2" t="s">
        <v>929</v>
      </c>
      <c r="E13" s="2" t="s">
        <v>992</v>
      </c>
      <c r="F13" s="2" t="s">
        <v>993</v>
      </c>
      <c r="G13" s="2" t="s">
        <v>893</v>
      </c>
      <c r="H13" s="2" t="s">
        <v>994</v>
      </c>
      <c r="I13" s="2" t="s">
        <v>431</v>
      </c>
      <c r="J13" s="2" t="s">
        <v>616</v>
      </c>
      <c r="K13" s="2" t="s">
        <v>93</v>
      </c>
      <c r="L13" s="2" t="s">
        <v>93</v>
      </c>
      <c r="M13" s="2" t="s">
        <v>93</v>
      </c>
      <c r="N13" s="2" t="s">
        <v>93</v>
      </c>
      <c r="O13" s="2" t="s">
        <v>93</v>
      </c>
      <c r="P13" s="2" t="s">
        <v>93</v>
      </c>
      <c r="Q13" s="2" t="s">
        <v>93</v>
      </c>
      <c r="R13" s="2" t="s">
        <v>93</v>
      </c>
      <c r="S13" s="13" t="s">
        <v>129</v>
      </c>
      <c r="T13" s="2" t="s">
        <v>93</v>
      </c>
      <c r="U13" s="2" t="s">
        <v>995</v>
      </c>
      <c r="V13" s="2" t="s">
        <v>996</v>
      </c>
      <c r="W13" s="2" t="s">
        <v>93</v>
      </c>
      <c r="X13" s="2" t="s">
        <v>93</v>
      </c>
      <c r="Y13" s="2"/>
    </row>
    <row r="14" spans="1:25" ht="46.5" x14ac:dyDescent="0.45">
      <c r="A14" s="2" t="s">
        <v>997</v>
      </c>
      <c r="B14" s="2" t="s">
        <v>621</v>
      </c>
      <c r="C14" s="2" t="s">
        <v>998</v>
      </c>
      <c r="D14" s="2" t="s">
        <v>895</v>
      </c>
      <c r="E14" s="2" t="s">
        <v>999</v>
      </c>
      <c r="F14" s="2" t="s">
        <v>892</v>
      </c>
      <c r="G14" s="2" t="s">
        <v>893</v>
      </c>
      <c r="H14" s="2" t="s">
        <v>702</v>
      </c>
      <c r="I14" s="2" t="s">
        <v>391</v>
      </c>
      <c r="J14" s="2" t="s">
        <v>689</v>
      </c>
      <c r="K14" s="2" t="s">
        <v>93</v>
      </c>
      <c r="L14" s="2" t="s">
        <v>1000</v>
      </c>
      <c r="M14" s="2" t="s">
        <v>1001</v>
      </c>
      <c r="N14" s="2" t="s">
        <v>897</v>
      </c>
      <c r="O14" s="2" t="s">
        <v>1002</v>
      </c>
      <c r="P14" s="2" t="s">
        <v>93</v>
      </c>
      <c r="Q14" s="2" t="s">
        <v>774</v>
      </c>
      <c r="R14" s="2" t="s">
        <v>93</v>
      </c>
      <c r="S14" s="10" t="s">
        <v>135</v>
      </c>
      <c r="T14" s="2" t="s">
        <v>878</v>
      </c>
      <c r="U14" s="2" t="s">
        <v>93</v>
      </c>
      <c r="V14" s="2" t="s">
        <v>93</v>
      </c>
      <c r="W14" s="2" t="s">
        <v>93</v>
      </c>
      <c r="X14" s="2" t="s">
        <v>93</v>
      </c>
      <c r="Y14" s="2"/>
    </row>
    <row r="15" spans="1:25" ht="93" x14ac:dyDescent="0.45">
      <c r="A15" s="2" t="s">
        <v>1003</v>
      </c>
      <c r="B15" s="2" t="s">
        <v>621</v>
      </c>
      <c r="C15" s="2" t="s">
        <v>1004</v>
      </c>
      <c r="D15" s="2" t="s">
        <v>895</v>
      </c>
      <c r="E15" s="2" t="s">
        <v>1005</v>
      </c>
      <c r="F15" s="2" t="s">
        <v>93</v>
      </c>
      <c r="G15" s="2" t="s">
        <v>93</v>
      </c>
      <c r="H15" s="2" t="s">
        <v>93</v>
      </c>
      <c r="I15" s="2" t="s">
        <v>546</v>
      </c>
      <c r="J15" s="2" t="s">
        <v>93</v>
      </c>
      <c r="K15" s="2" t="s">
        <v>93</v>
      </c>
      <c r="L15" s="2" t="s">
        <v>93</v>
      </c>
      <c r="M15" s="2" t="s">
        <v>93</v>
      </c>
      <c r="N15" s="2" t="s">
        <v>1006</v>
      </c>
      <c r="O15" s="2" t="s">
        <v>1007</v>
      </c>
      <c r="P15" s="2" t="s">
        <v>853</v>
      </c>
      <c r="Q15" s="2" t="s">
        <v>1008</v>
      </c>
      <c r="R15" s="2" t="s">
        <v>93</v>
      </c>
      <c r="S15" s="14" t="s">
        <v>477</v>
      </c>
      <c r="T15" s="2" t="s">
        <v>1009</v>
      </c>
      <c r="U15" s="2" t="s">
        <v>1010</v>
      </c>
      <c r="V15" s="2" t="s">
        <v>1011</v>
      </c>
      <c r="W15" s="2" t="s">
        <v>1012</v>
      </c>
      <c r="X15" s="2" t="s">
        <v>448</v>
      </c>
      <c r="Y15" s="2" t="s">
        <v>1013</v>
      </c>
    </row>
  </sheetData>
  <autoFilter ref="A1:Y15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6" customWidth="1"/>
    <col min="2" max="2" width="20" customWidth="1"/>
    <col min="3" max="3" width="14" customWidth="1"/>
    <col min="4" max="4" width="26" customWidth="1"/>
    <col min="5" max="5" width="10" customWidth="1"/>
    <col min="6" max="6" width="14" customWidth="1"/>
    <col min="7" max="7" width="22" customWidth="1"/>
    <col min="8" max="8" width="50" customWidth="1"/>
    <col min="9" max="9" width="18" customWidth="1"/>
    <col min="10" max="10" width="22" customWidth="1"/>
    <col min="11" max="11" width="28" customWidth="1"/>
    <col min="12" max="12" width="40" customWidth="1"/>
    <col min="13" max="13" width="8" customWidth="1"/>
    <col min="14" max="14" width="32" customWidth="1"/>
    <col min="15" max="16" width="18" customWidth="1"/>
    <col min="17" max="17" width="40" customWidth="1"/>
  </cols>
  <sheetData>
    <row r="1" spans="1:17" ht="26.25" x14ac:dyDescent="0.45">
      <c r="A1" s="1" t="s">
        <v>359</v>
      </c>
      <c r="B1" s="1" t="s">
        <v>1014</v>
      </c>
      <c r="C1" s="1" t="s">
        <v>362</v>
      </c>
      <c r="D1" s="1" t="s">
        <v>1015</v>
      </c>
      <c r="E1" s="1" t="s">
        <v>364</v>
      </c>
      <c r="F1" s="1" t="s">
        <v>1016</v>
      </c>
      <c r="G1" s="1" t="s">
        <v>274</v>
      </c>
      <c r="H1" s="1" t="s">
        <v>1017</v>
      </c>
      <c r="I1" s="1" t="s">
        <v>370</v>
      </c>
      <c r="J1" s="1" t="s">
        <v>371</v>
      </c>
      <c r="K1" s="1" t="s">
        <v>372</v>
      </c>
      <c r="L1" s="1" t="s">
        <v>1018</v>
      </c>
      <c r="M1" s="1" t="s">
        <v>377</v>
      </c>
      <c r="N1" s="1" t="s">
        <v>378</v>
      </c>
      <c r="O1" s="1" t="s">
        <v>1019</v>
      </c>
      <c r="P1" s="1" t="s">
        <v>1020</v>
      </c>
      <c r="Q1" s="1" t="s">
        <v>383</v>
      </c>
    </row>
    <row r="2" spans="1:17" ht="58.15" x14ac:dyDescent="0.45">
      <c r="A2" s="2" t="s">
        <v>1021</v>
      </c>
      <c r="B2" s="2" t="s">
        <v>1022</v>
      </c>
      <c r="C2" s="2" t="s">
        <v>387</v>
      </c>
      <c r="D2" s="2" t="s">
        <v>1023</v>
      </c>
      <c r="E2" s="2" t="s">
        <v>389</v>
      </c>
      <c r="F2" s="2" t="s">
        <v>1024</v>
      </c>
      <c r="G2" s="2" t="s">
        <v>391</v>
      </c>
      <c r="H2" s="2" t="s">
        <v>1025</v>
      </c>
      <c r="I2" s="2" t="s">
        <v>394</v>
      </c>
      <c r="J2" s="2" t="s">
        <v>1026</v>
      </c>
      <c r="K2" s="2" t="s">
        <v>705</v>
      </c>
      <c r="L2" s="2" t="s">
        <v>1027</v>
      </c>
      <c r="M2" s="10" t="s">
        <v>135</v>
      </c>
      <c r="N2" s="2" t="s">
        <v>1028</v>
      </c>
      <c r="O2" s="2" t="s">
        <v>1029</v>
      </c>
      <c r="P2" s="2" t="s">
        <v>1030</v>
      </c>
      <c r="Q2" s="2" t="s">
        <v>1031</v>
      </c>
    </row>
    <row r="3" spans="1:17" ht="23.25" x14ac:dyDescent="0.45">
      <c r="A3" s="2" t="s">
        <v>1032</v>
      </c>
      <c r="B3" s="2" t="s">
        <v>1033</v>
      </c>
      <c r="C3" s="2" t="s">
        <v>1034</v>
      </c>
      <c r="D3" s="2" t="s">
        <v>1035</v>
      </c>
      <c r="E3" s="2" t="s">
        <v>93</v>
      </c>
      <c r="F3" s="2" t="s">
        <v>93</v>
      </c>
      <c r="G3" s="2" t="s">
        <v>1036</v>
      </c>
      <c r="H3" s="2" t="s">
        <v>1037</v>
      </c>
      <c r="I3" s="2" t="s">
        <v>394</v>
      </c>
      <c r="J3" s="2" t="s">
        <v>93</v>
      </c>
      <c r="K3" s="2" t="s">
        <v>1038</v>
      </c>
      <c r="L3" s="2" t="s">
        <v>93</v>
      </c>
      <c r="M3" s="10" t="s">
        <v>135</v>
      </c>
      <c r="N3" s="2" t="s">
        <v>426</v>
      </c>
      <c r="O3" s="2"/>
      <c r="P3" s="2"/>
      <c r="Q3" s="2" t="s">
        <v>1039</v>
      </c>
    </row>
    <row r="4" spans="1:17" x14ac:dyDescent="0.45">
      <c r="A4" s="2" t="s">
        <v>1040</v>
      </c>
      <c r="B4" s="2" t="s">
        <v>1041</v>
      </c>
      <c r="C4" s="2" t="s">
        <v>1042</v>
      </c>
      <c r="D4" s="2" t="s">
        <v>1043</v>
      </c>
      <c r="E4" s="2" t="s">
        <v>93</v>
      </c>
      <c r="F4" s="2" t="s">
        <v>93</v>
      </c>
      <c r="G4" s="2" t="s">
        <v>1036</v>
      </c>
      <c r="H4" s="2" t="s">
        <v>1044</v>
      </c>
      <c r="I4" s="2" t="s">
        <v>1045</v>
      </c>
      <c r="J4" s="2" t="s">
        <v>93</v>
      </c>
      <c r="K4" s="2" t="s">
        <v>734</v>
      </c>
      <c r="L4" s="2" t="s">
        <v>1046</v>
      </c>
      <c r="M4" s="10" t="s">
        <v>135</v>
      </c>
      <c r="N4" s="2" t="s">
        <v>878</v>
      </c>
      <c r="O4" s="2"/>
      <c r="P4" s="2"/>
      <c r="Q4" s="2"/>
    </row>
    <row r="5" spans="1:17" ht="23.25" x14ac:dyDescent="0.45">
      <c r="A5" s="2" t="s">
        <v>1047</v>
      </c>
      <c r="B5" s="2" t="s">
        <v>1048</v>
      </c>
      <c r="C5" s="2" t="s">
        <v>1049</v>
      </c>
      <c r="D5" s="2" t="s">
        <v>93</v>
      </c>
      <c r="E5" s="2" t="s">
        <v>93</v>
      </c>
      <c r="F5" s="2" t="s">
        <v>93</v>
      </c>
      <c r="G5" s="2" t="s">
        <v>1036</v>
      </c>
      <c r="H5" s="2" t="s">
        <v>1050</v>
      </c>
      <c r="I5" s="2" t="s">
        <v>394</v>
      </c>
      <c r="J5" s="2" t="s">
        <v>1051</v>
      </c>
      <c r="K5" s="2" t="s">
        <v>1052</v>
      </c>
      <c r="L5" s="2" t="s">
        <v>93</v>
      </c>
      <c r="M5" s="10" t="s">
        <v>135</v>
      </c>
      <c r="N5" s="2" t="s">
        <v>694</v>
      </c>
      <c r="O5" s="2"/>
      <c r="P5" s="2"/>
      <c r="Q5" s="2"/>
    </row>
    <row r="6" spans="1:17" ht="34.9" x14ac:dyDescent="0.45">
      <c r="A6" s="2" t="s">
        <v>1053</v>
      </c>
      <c r="B6" s="2" t="s">
        <v>1054</v>
      </c>
      <c r="C6" s="2" t="s">
        <v>1055</v>
      </c>
      <c r="D6" s="2" t="s">
        <v>93</v>
      </c>
      <c r="E6" s="2" t="s">
        <v>93</v>
      </c>
      <c r="F6" s="2" t="s">
        <v>93</v>
      </c>
      <c r="G6" s="2" t="s">
        <v>1056</v>
      </c>
      <c r="H6" s="2" t="s">
        <v>1057</v>
      </c>
      <c r="I6" s="2" t="s">
        <v>1058</v>
      </c>
      <c r="J6" s="2" t="s">
        <v>1059</v>
      </c>
      <c r="K6" s="2" t="s">
        <v>1060</v>
      </c>
      <c r="L6" s="2" t="s">
        <v>1061</v>
      </c>
      <c r="M6" s="10" t="s">
        <v>135</v>
      </c>
      <c r="N6" s="2" t="s">
        <v>1062</v>
      </c>
      <c r="O6" s="2" t="s">
        <v>1063</v>
      </c>
      <c r="P6" s="2" t="s">
        <v>1064</v>
      </c>
      <c r="Q6" s="2" t="s">
        <v>1065</v>
      </c>
    </row>
    <row r="7" spans="1:17" ht="34.9" x14ac:dyDescent="0.45">
      <c r="A7" s="2" t="s">
        <v>1066</v>
      </c>
      <c r="B7" s="2" t="s">
        <v>1067</v>
      </c>
      <c r="C7" s="2" t="s">
        <v>93</v>
      </c>
      <c r="D7" s="2" t="s">
        <v>93</v>
      </c>
      <c r="E7" s="2" t="s">
        <v>93</v>
      </c>
      <c r="F7" s="2" t="s">
        <v>93</v>
      </c>
      <c r="G7" s="2" t="s">
        <v>1068</v>
      </c>
      <c r="H7" s="2" t="s">
        <v>1069</v>
      </c>
      <c r="I7" s="2" t="s">
        <v>394</v>
      </c>
      <c r="J7" s="2" t="s">
        <v>1070</v>
      </c>
      <c r="K7" s="2" t="s">
        <v>1071</v>
      </c>
      <c r="L7" s="2" t="s">
        <v>1072</v>
      </c>
      <c r="M7" s="14" t="s">
        <v>477</v>
      </c>
      <c r="N7" s="2" t="s">
        <v>584</v>
      </c>
      <c r="O7" s="2"/>
      <c r="P7" s="2"/>
      <c r="Q7" s="2" t="s">
        <v>1073</v>
      </c>
    </row>
    <row r="8" spans="1:17" ht="46.5" x14ac:dyDescent="0.45">
      <c r="A8" s="2" t="s">
        <v>1074</v>
      </c>
      <c r="B8" s="2" t="s">
        <v>1075</v>
      </c>
      <c r="C8" s="2" t="s">
        <v>93</v>
      </c>
      <c r="D8" s="2" t="s">
        <v>93</v>
      </c>
      <c r="E8" s="2" t="s">
        <v>93</v>
      </c>
      <c r="F8" s="2" t="s">
        <v>93</v>
      </c>
      <c r="G8" s="2" t="s">
        <v>1076</v>
      </c>
      <c r="H8" s="2" t="s">
        <v>1077</v>
      </c>
      <c r="I8" s="2" t="s">
        <v>394</v>
      </c>
      <c r="J8" s="2" t="s">
        <v>1078</v>
      </c>
      <c r="K8" s="2" t="s">
        <v>597</v>
      </c>
      <c r="L8" s="2" t="s">
        <v>1079</v>
      </c>
      <c r="M8" s="14" t="s">
        <v>477</v>
      </c>
      <c r="N8" s="2" t="s">
        <v>584</v>
      </c>
      <c r="O8" s="2"/>
      <c r="P8" s="2"/>
      <c r="Q8" s="2" t="s">
        <v>1080</v>
      </c>
    </row>
    <row r="9" spans="1:17" ht="23.25" x14ac:dyDescent="0.45">
      <c r="A9" s="2" t="s">
        <v>1081</v>
      </c>
      <c r="B9" s="2" t="s">
        <v>1082</v>
      </c>
      <c r="C9" s="2" t="s">
        <v>93</v>
      </c>
      <c r="D9" s="2" t="s">
        <v>93</v>
      </c>
      <c r="E9" s="2" t="s">
        <v>93</v>
      </c>
      <c r="F9" s="2" t="s">
        <v>93</v>
      </c>
      <c r="G9" s="2" t="s">
        <v>1083</v>
      </c>
      <c r="H9" s="2" t="s">
        <v>1084</v>
      </c>
      <c r="I9" s="2" t="s">
        <v>394</v>
      </c>
      <c r="J9" s="2" t="s">
        <v>1085</v>
      </c>
      <c r="K9" s="2" t="s">
        <v>1086</v>
      </c>
      <c r="L9" s="2" t="s">
        <v>1087</v>
      </c>
      <c r="M9" s="14" t="s">
        <v>477</v>
      </c>
      <c r="N9" s="2" t="s">
        <v>584</v>
      </c>
      <c r="O9" s="2" t="s">
        <v>1088</v>
      </c>
      <c r="P9" s="2" t="s">
        <v>1089</v>
      </c>
      <c r="Q9" s="2"/>
    </row>
    <row r="10" spans="1:17" ht="58.15" x14ac:dyDescent="0.45">
      <c r="A10" s="2" t="s">
        <v>1090</v>
      </c>
      <c r="B10" s="2" t="s">
        <v>1091</v>
      </c>
      <c r="C10" s="2" t="s">
        <v>93</v>
      </c>
      <c r="D10" s="2" t="s">
        <v>93</v>
      </c>
      <c r="E10" s="2" t="s">
        <v>93</v>
      </c>
      <c r="F10" s="2" t="s">
        <v>93</v>
      </c>
      <c r="G10" s="2" t="s">
        <v>546</v>
      </c>
      <c r="H10" s="2" t="s">
        <v>1092</v>
      </c>
      <c r="I10" s="2" t="s">
        <v>394</v>
      </c>
      <c r="J10" s="2" t="s">
        <v>1093</v>
      </c>
      <c r="K10" s="2" t="s">
        <v>547</v>
      </c>
      <c r="L10" s="2" t="s">
        <v>1094</v>
      </c>
      <c r="M10" s="14" t="s">
        <v>477</v>
      </c>
      <c r="N10" s="2" t="s">
        <v>1095</v>
      </c>
      <c r="O10" s="2" t="s">
        <v>1096</v>
      </c>
      <c r="P10" s="2" t="s">
        <v>1096</v>
      </c>
      <c r="Q10" s="2" t="s">
        <v>1097</v>
      </c>
    </row>
    <row r="11" spans="1:17" ht="23.25" x14ac:dyDescent="0.45">
      <c r="A11" s="2" t="s">
        <v>1098</v>
      </c>
      <c r="B11" s="2" t="s">
        <v>1099</v>
      </c>
      <c r="C11" s="2" t="s">
        <v>93</v>
      </c>
      <c r="D11" s="2" t="s">
        <v>93</v>
      </c>
      <c r="E11" s="2" t="s">
        <v>93</v>
      </c>
      <c r="F11" s="2" t="s">
        <v>93</v>
      </c>
      <c r="G11" s="2" t="s">
        <v>1083</v>
      </c>
      <c r="H11" s="2" t="s">
        <v>1100</v>
      </c>
      <c r="I11" s="2" t="s">
        <v>394</v>
      </c>
      <c r="J11" s="2" t="s">
        <v>1101</v>
      </c>
      <c r="K11" s="2" t="s">
        <v>1102</v>
      </c>
      <c r="L11" s="2" t="s">
        <v>1103</v>
      </c>
      <c r="M11" s="14" t="s">
        <v>477</v>
      </c>
      <c r="N11" s="2" t="s">
        <v>584</v>
      </c>
      <c r="O11" s="2"/>
      <c r="P11" s="2"/>
      <c r="Q11" s="2" t="s">
        <v>1104</v>
      </c>
    </row>
    <row r="12" spans="1:17" ht="34.9" x14ac:dyDescent="0.45">
      <c r="A12" s="2" t="s">
        <v>1105</v>
      </c>
      <c r="B12" s="2" t="s">
        <v>1106</v>
      </c>
      <c r="C12" s="2" t="s">
        <v>93</v>
      </c>
      <c r="D12" s="2" t="s">
        <v>93</v>
      </c>
      <c r="E12" s="2" t="s">
        <v>93</v>
      </c>
      <c r="F12" s="2" t="s">
        <v>93</v>
      </c>
      <c r="G12" s="2" t="s">
        <v>1107</v>
      </c>
      <c r="H12" s="2" t="s">
        <v>1108</v>
      </c>
      <c r="I12" s="2" t="s">
        <v>1109</v>
      </c>
      <c r="J12" s="2" t="s">
        <v>1110</v>
      </c>
      <c r="K12" s="2" t="s">
        <v>1111</v>
      </c>
      <c r="L12" s="2" t="s">
        <v>1112</v>
      </c>
      <c r="M12" s="10" t="s">
        <v>135</v>
      </c>
      <c r="N12" s="2" t="s">
        <v>1113</v>
      </c>
      <c r="O12" s="2"/>
      <c r="P12" s="2"/>
      <c r="Q12" s="2" t="s">
        <v>1114</v>
      </c>
    </row>
    <row r="13" spans="1:17" ht="23.25" x14ac:dyDescent="0.45">
      <c r="A13" s="2" t="s">
        <v>1115</v>
      </c>
      <c r="B13" s="2" t="s">
        <v>96</v>
      </c>
      <c r="C13" s="2" t="s">
        <v>93</v>
      </c>
      <c r="D13" s="2" t="s">
        <v>93</v>
      </c>
      <c r="E13" s="2" t="s">
        <v>93</v>
      </c>
      <c r="F13" s="2" t="s">
        <v>93</v>
      </c>
      <c r="G13" s="2" t="s">
        <v>546</v>
      </c>
      <c r="H13" s="2" t="s">
        <v>1116</v>
      </c>
      <c r="I13" s="2" t="s">
        <v>1117</v>
      </c>
      <c r="J13" s="2" t="s">
        <v>1118</v>
      </c>
      <c r="K13" s="2" t="s">
        <v>96</v>
      </c>
      <c r="L13" s="2" t="s">
        <v>1119</v>
      </c>
      <c r="M13" s="10" t="s">
        <v>135</v>
      </c>
      <c r="N13" s="2" t="s">
        <v>694</v>
      </c>
      <c r="O13" s="2" t="s">
        <v>1120</v>
      </c>
      <c r="P13" s="2" t="s">
        <v>1121</v>
      </c>
      <c r="Q13" s="2"/>
    </row>
    <row r="14" spans="1:17" ht="23.25" x14ac:dyDescent="0.45">
      <c r="A14" s="2" t="s">
        <v>1122</v>
      </c>
      <c r="B14" s="2" t="s">
        <v>1123</v>
      </c>
      <c r="C14" s="2" t="s">
        <v>93</v>
      </c>
      <c r="D14" s="2" t="s">
        <v>93</v>
      </c>
      <c r="E14" s="2" t="s">
        <v>93</v>
      </c>
      <c r="F14" s="2" t="s">
        <v>93</v>
      </c>
      <c r="G14" s="2" t="s">
        <v>1124</v>
      </c>
      <c r="H14" s="2" t="s">
        <v>1125</v>
      </c>
      <c r="I14" s="2" t="s">
        <v>1126</v>
      </c>
      <c r="J14" s="2" t="s">
        <v>1127</v>
      </c>
      <c r="K14" s="2" t="s">
        <v>1128</v>
      </c>
      <c r="L14" s="2" t="s">
        <v>1129</v>
      </c>
      <c r="M14" s="10" t="s">
        <v>135</v>
      </c>
      <c r="N14" s="2" t="s">
        <v>1130</v>
      </c>
      <c r="O14" s="2"/>
      <c r="P14" s="2"/>
      <c r="Q14" s="2"/>
    </row>
    <row r="15" spans="1:17" ht="23.25" x14ac:dyDescent="0.45">
      <c r="A15" s="2" t="s">
        <v>1131</v>
      </c>
      <c r="B15" s="2" t="s">
        <v>1132</v>
      </c>
      <c r="C15" s="2" t="s">
        <v>93</v>
      </c>
      <c r="D15" s="2" t="s">
        <v>93</v>
      </c>
      <c r="E15" s="2" t="s">
        <v>93</v>
      </c>
      <c r="F15" s="2" t="s">
        <v>93</v>
      </c>
      <c r="G15" s="2" t="s">
        <v>1124</v>
      </c>
      <c r="H15" s="2" t="s">
        <v>1133</v>
      </c>
      <c r="I15" s="2" t="s">
        <v>1126</v>
      </c>
      <c r="J15" s="2" t="s">
        <v>1134</v>
      </c>
      <c r="K15" s="2" t="s">
        <v>1132</v>
      </c>
      <c r="L15" s="2" t="s">
        <v>1135</v>
      </c>
      <c r="M15" s="10" t="s">
        <v>135</v>
      </c>
      <c r="N15" s="2" t="s">
        <v>1136</v>
      </c>
      <c r="O15" s="2" t="s">
        <v>1137</v>
      </c>
      <c r="P15" s="2" t="s">
        <v>1137</v>
      </c>
      <c r="Q15" s="2"/>
    </row>
    <row r="16" spans="1:17" ht="23.25" x14ac:dyDescent="0.45">
      <c r="A16" s="2" t="s">
        <v>1138</v>
      </c>
      <c r="B16" s="2" t="s">
        <v>1139</v>
      </c>
      <c r="C16" s="2" t="s">
        <v>93</v>
      </c>
      <c r="D16" s="2" t="s">
        <v>93</v>
      </c>
      <c r="E16" s="2" t="s">
        <v>93</v>
      </c>
      <c r="F16" s="2" t="s">
        <v>93</v>
      </c>
      <c r="G16" s="2" t="s">
        <v>1140</v>
      </c>
      <c r="H16" s="2" t="s">
        <v>1141</v>
      </c>
      <c r="I16" s="2" t="s">
        <v>1142</v>
      </c>
      <c r="J16" s="2" t="s">
        <v>1143</v>
      </c>
      <c r="K16" s="2" t="s">
        <v>1142</v>
      </c>
      <c r="L16" s="2" t="s">
        <v>1144</v>
      </c>
      <c r="M16" s="10" t="s">
        <v>135</v>
      </c>
      <c r="N16" s="2" t="s">
        <v>1145</v>
      </c>
      <c r="O16" s="2"/>
      <c r="P16" s="2"/>
      <c r="Q16" s="2" t="s">
        <v>1146</v>
      </c>
    </row>
    <row r="17" spans="1:17" ht="23.25" x14ac:dyDescent="0.45">
      <c r="A17" s="2" t="s">
        <v>1147</v>
      </c>
      <c r="B17" s="2" t="s">
        <v>1148</v>
      </c>
      <c r="C17" s="2" t="s">
        <v>93</v>
      </c>
      <c r="D17" s="2" t="s">
        <v>93</v>
      </c>
      <c r="E17" s="2" t="s">
        <v>93</v>
      </c>
      <c r="F17" s="2" t="s">
        <v>93</v>
      </c>
      <c r="G17" s="2" t="s">
        <v>1076</v>
      </c>
      <c r="H17" s="2" t="s">
        <v>1149</v>
      </c>
      <c r="I17" s="2" t="s">
        <v>1142</v>
      </c>
      <c r="J17" s="2" t="s">
        <v>1150</v>
      </c>
      <c r="K17" s="2" t="s">
        <v>1151</v>
      </c>
      <c r="L17" s="2" t="s">
        <v>1152</v>
      </c>
      <c r="M17" s="10" t="s">
        <v>135</v>
      </c>
      <c r="N17" s="2" t="s">
        <v>1153</v>
      </c>
      <c r="O17" s="2"/>
      <c r="P17" s="2"/>
      <c r="Q17" s="2" t="s">
        <v>1154</v>
      </c>
    </row>
    <row r="18" spans="1:17" ht="23.25" x14ac:dyDescent="0.45">
      <c r="A18" s="2" t="s">
        <v>1155</v>
      </c>
      <c r="B18" s="2" t="s">
        <v>1156</v>
      </c>
      <c r="C18" s="2" t="s">
        <v>93</v>
      </c>
      <c r="D18" s="2" t="s">
        <v>93</v>
      </c>
      <c r="E18" s="2" t="s">
        <v>93</v>
      </c>
      <c r="F18" s="2" t="s">
        <v>93</v>
      </c>
      <c r="G18" s="2" t="s">
        <v>1124</v>
      </c>
      <c r="H18" s="2" t="s">
        <v>1157</v>
      </c>
      <c r="I18" s="2" t="s">
        <v>1158</v>
      </c>
      <c r="J18" s="2" t="s">
        <v>93</v>
      </c>
      <c r="K18" s="2" t="s">
        <v>1158</v>
      </c>
      <c r="L18" s="2" t="s">
        <v>1129</v>
      </c>
      <c r="M18" s="10" t="s">
        <v>135</v>
      </c>
      <c r="N18" s="2" t="s">
        <v>1159</v>
      </c>
      <c r="O18" s="2"/>
      <c r="P18" s="2"/>
      <c r="Q18" s="2"/>
    </row>
    <row r="19" spans="1:17" ht="34.9" x14ac:dyDescent="0.45">
      <c r="A19" s="2" t="s">
        <v>1160</v>
      </c>
      <c r="B19" s="2" t="s">
        <v>1161</v>
      </c>
      <c r="C19" s="2" t="s">
        <v>93</v>
      </c>
      <c r="D19" s="2" t="s">
        <v>93</v>
      </c>
      <c r="E19" s="2" t="s">
        <v>93</v>
      </c>
      <c r="F19" s="2" t="s">
        <v>93</v>
      </c>
      <c r="G19" s="2" t="s">
        <v>1162</v>
      </c>
      <c r="H19" s="2" t="s">
        <v>1163</v>
      </c>
      <c r="I19" s="2" t="s">
        <v>1164</v>
      </c>
      <c r="J19" s="2" t="s">
        <v>93</v>
      </c>
      <c r="K19" s="2" t="s">
        <v>1165</v>
      </c>
      <c r="L19" s="2" t="s">
        <v>93</v>
      </c>
      <c r="M19" s="10" t="s">
        <v>135</v>
      </c>
      <c r="N19" s="2" t="s">
        <v>1166</v>
      </c>
      <c r="O19" s="2"/>
      <c r="P19" s="2"/>
      <c r="Q19" s="2"/>
    </row>
    <row r="20" spans="1:17" x14ac:dyDescent="0.45">
      <c r="A20" s="2" t="s">
        <v>1167</v>
      </c>
      <c r="B20" s="2" t="s">
        <v>1168</v>
      </c>
      <c r="C20" s="2" t="s">
        <v>93</v>
      </c>
      <c r="D20" s="2" t="s">
        <v>93</v>
      </c>
      <c r="E20" s="2" t="s">
        <v>93</v>
      </c>
      <c r="F20" s="2" t="s">
        <v>93</v>
      </c>
      <c r="G20" s="2" t="s">
        <v>1169</v>
      </c>
      <c r="H20" s="2" t="s">
        <v>1170</v>
      </c>
      <c r="I20" s="2" t="s">
        <v>93</v>
      </c>
      <c r="J20" s="2" t="s">
        <v>93</v>
      </c>
      <c r="K20" s="2" t="s">
        <v>1171</v>
      </c>
      <c r="L20" s="2" t="s">
        <v>93</v>
      </c>
      <c r="M20" s="10" t="s">
        <v>135</v>
      </c>
      <c r="N20" s="2" t="s">
        <v>1172</v>
      </c>
      <c r="O20" s="2"/>
      <c r="P20" s="2"/>
      <c r="Q20" s="2"/>
    </row>
    <row r="21" spans="1:17" ht="46.5" x14ac:dyDescent="0.45">
      <c r="A21" s="2" t="s">
        <v>1173</v>
      </c>
      <c r="B21" s="2" t="s">
        <v>1174</v>
      </c>
      <c r="C21" s="2" t="s">
        <v>93</v>
      </c>
      <c r="D21" s="2" t="s">
        <v>93</v>
      </c>
      <c r="E21" s="2" t="s">
        <v>93</v>
      </c>
      <c r="F21" s="2" t="s">
        <v>93</v>
      </c>
      <c r="G21" s="2" t="s">
        <v>1175</v>
      </c>
      <c r="H21" s="2" t="s">
        <v>1176</v>
      </c>
      <c r="I21" s="2" t="s">
        <v>1177</v>
      </c>
      <c r="J21" s="2" t="s">
        <v>1178</v>
      </c>
      <c r="K21" s="2" t="s">
        <v>1179</v>
      </c>
      <c r="L21" s="2" t="s">
        <v>1180</v>
      </c>
      <c r="M21" s="10" t="s">
        <v>135</v>
      </c>
      <c r="N21" s="2" t="s">
        <v>1181</v>
      </c>
      <c r="O21" s="2"/>
      <c r="P21" s="2"/>
      <c r="Q21" s="2" t="s">
        <v>1182</v>
      </c>
    </row>
  </sheetData>
  <autoFilter ref="A1:Q21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4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34" customWidth="1"/>
    <col min="3" max="3" width="7" customWidth="1"/>
    <col min="4" max="4" width="9" customWidth="1"/>
    <col min="5" max="25" width="12" customWidth="1"/>
    <col min="26" max="31" width="30" customWidth="1"/>
  </cols>
  <sheetData>
    <row r="1" spans="1:31" ht="52.5" x14ac:dyDescent="0.45">
      <c r="A1" s="1" t="s">
        <v>96</v>
      </c>
      <c r="B1" s="1" t="s">
        <v>388</v>
      </c>
      <c r="C1" s="1" t="s">
        <v>1183</v>
      </c>
      <c r="D1" s="1" t="s">
        <v>1184</v>
      </c>
      <c r="E1" s="1" t="s">
        <v>407</v>
      </c>
      <c r="F1" s="1" t="s">
        <v>416</v>
      </c>
      <c r="G1" s="1" t="s">
        <v>420</v>
      </c>
      <c r="H1" s="1" t="s">
        <v>424</v>
      </c>
      <c r="I1" s="1" t="s">
        <v>430</v>
      </c>
      <c r="J1" s="1" t="s">
        <v>435</v>
      </c>
      <c r="K1" s="1" t="s">
        <v>485</v>
      </c>
      <c r="L1" s="1" t="s">
        <v>498</v>
      </c>
      <c r="M1" s="1" t="s">
        <v>452</v>
      </c>
      <c r="N1" s="1" t="s">
        <v>471</v>
      </c>
      <c r="O1" s="1" t="s">
        <v>439</v>
      </c>
      <c r="P1" s="1" t="s">
        <v>513</v>
      </c>
      <c r="Q1" s="1" t="s">
        <v>528</v>
      </c>
      <c r="R1" s="1" t="s">
        <v>540</v>
      </c>
      <c r="S1" s="1" t="s">
        <v>552</v>
      </c>
      <c r="T1" s="1" t="s">
        <v>567</v>
      </c>
      <c r="U1" s="1" t="s">
        <v>573</v>
      </c>
      <c r="V1" s="1" t="s">
        <v>580</v>
      </c>
      <c r="W1" s="1" t="s">
        <v>592</v>
      </c>
      <c r="X1" s="1" t="s">
        <v>606</v>
      </c>
      <c r="Y1" s="1" t="s">
        <v>615</v>
      </c>
      <c r="Z1" s="1" t="s">
        <v>1185</v>
      </c>
      <c r="AA1" s="1" t="s">
        <v>1186</v>
      </c>
      <c r="AB1" s="1" t="s">
        <v>1187</v>
      </c>
      <c r="AC1" s="1" t="s">
        <v>1188</v>
      </c>
      <c r="AD1" s="1" t="s">
        <v>1189</v>
      </c>
      <c r="AE1" s="1" t="s">
        <v>1190</v>
      </c>
    </row>
    <row r="2" spans="1:31" x14ac:dyDescent="0.45">
      <c r="A2" s="2" t="s">
        <v>122</v>
      </c>
      <c r="B2" s="2" t="s">
        <v>1191</v>
      </c>
      <c r="C2" s="2">
        <v>1</v>
      </c>
      <c r="D2" s="2" t="s">
        <v>1192</v>
      </c>
      <c r="E2" s="2" t="s">
        <v>436</v>
      </c>
      <c r="F2" s="2" t="s">
        <v>436</v>
      </c>
      <c r="G2" s="2" t="s">
        <v>436</v>
      </c>
      <c r="H2" s="2" t="s">
        <v>436</v>
      </c>
      <c r="I2" s="2" t="s">
        <v>410</v>
      </c>
      <c r="J2" s="2" t="s">
        <v>436</v>
      </c>
      <c r="K2" s="2" t="s">
        <v>1193</v>
      </c>
      <c r="L2" s="2" t="s">
        <v>1194</v>
      </c>
      <c r="M2" s="2" t="s">
        <v>1195</v>
      </c>
      <c r="N2" s="2" t="s">
        <v>478</v>
      </c>
      <c r="O2" s="2" t="s">
        <v>1196</v>
      </c>
      <c r="P2" s="2" t="s">
        <v>1197</v>
      </c>
      <c r="Q2" s="2" t="s">
        <v>1195</v>
      </c>
      <c r="R2" s="2" t="s">
        <v>410</v>
      </c>
      <c r="S2" s="2" t="s">
        <v>1198</v>
      </c>
      <c r="T2" s="2" t="s">
        <v>1199</v>
      </c>
      <c r="U2" s="2" t="s">
        <v>1200</v>
      </c>
      <c r="V2" s="2" t="s">
        <v>1201</v>
      </c>
      <c r="W2" s="2" t="s">
        <v>1202</v>
      </c>
      <c r="X2" s="2" t="s">
        <v>1203</v>
      </c>
      <c r="Y2" s="2" t="s">
        <v>478</v>
      </c>
      <c r="Z2" s="2" t="s">
        <v>1204</v>
      </c>
      <c r="AA2" s="2" t="s">
        <v>1205</v>
      </c>
      <c r="AB2" s="2" t="s">
        <v>1206</v>
      </c>
      <c r="AC2" s="2" t="s">
        <v>1207</v>
      </c>
      <c r="AD2" s="2" t="s">
        <v>1208</v>
      </c>
      <c r="AE2" s="2" t="s">
        <v>1209</v>
      </c>
    </row>
    <row r="3" spans="1:31" ht="209.25" x14ac:dyDescent="0.45">
      <c r="A3" s="2" t="s">
        <v>122</v>
      </c>
      <c r="B3" s="2" t="s">
        <v>1210</v>
      </c>
      <c r="C3" s="2">
        <v>19</v>
      </c>
      <c r="D3" s="2" t="s">
        <v>1211</v>
      </c>
      <c r="E3" s="2" t="s">
        <v>436</v>
      </c>
      <c r="F3" s="2" t="s">
        <v>436</v>
      </c>
      <c r="G3" s="2" t="s">
        <v>436</v>
      </c>
      <c r="H3" s="2" t="s">
        <v>436</v>
      </c>
      <c r="I3" s="2" t="s">
        <v>410</v>
      </c>
      <c r="J3" s="2" t="s">
        <v>436</v>
      </c>
      <c r="K3" s="2" t="s">
        <v>1212</v>
      </c>
      <c r="L3" s="2" t="s">
        <v>1213</v>
      </c>
      <c r="M3" s="2" t="s">
        <v>460</v>
      </c>
      <c r="N3" s="2" t="s">
        <v>478</v>
      </c>
      <c r="O3" s="2" t="s">
        <v>1214</v>
      </c>
      <c r="P3" s="2" t="s">
        <v>1215</v>
      </c>
      <c r="Q3" s="2" t="s">
        <v>1195</v>
      </c>
      <c r="R3" s="2" t="s">
        <v>410</v>
      </c>
      <c r="S3" s="2" t="s">
        <v>1198</v>
      </c>
      <c r="T3" s="2" t="s">
        <v>1199</v>
      </c>
      <c r="U3" s="2" t="s">
        <v>1200</v>
      </c>
      <c r="V3" s="2" t="s">
        <v>1201</v>
      </c>
      <c r="W3" s="2" t="s">
        <v>1202</v>
      </c>
      <c r="X3" s="2" t="s">
        <v>1203</v>
      </c>
      <c r="Y3" s="2" t="s">
        <v>1216</v>
      </c>
      <c r="Z3" s="2" t="s">
        <v>1217</v>
      </c>
      <c r="AA3" s="2" t="s">
        <v>1218</v>
      </c>
      <c r="AB3" s="2" t="s">
        <v>1219</v>
      </c>
      <c r="AC3" s="2" t="s">
        <v>1220</v>
      </c>
      <c r="AD3" s="2" t="s">
        <v>1221</v>
      </c>
      <c r="AE3" s="2" t="s">
        <v>1222</v>
      </c>
    </row>
    <row r="4" spans="1:31" ht="23.25" x14ac:dyDescent="0.45">
      <c r="A4" s="2" t="s">
        <v>122</v>
      </c>
      <c r="B4" s="2" t="s">
        <v>1223</v>
      </c>
      <c r="C4" s="2">
        <v>23</v>
      </c>
      <c r="D4" s="2" t="s">
        <v>460</v>
      </c>
      <c r="E4" s="2" t="s">
        <v>436</v>
      </c>
      <c r="F4" s="2" t="s">
        <v>436</v>
      </c>
      <c r="G4" s="2" t="s">
        <v>436</v>
      </c>
      <c r="H4" s="2" t="s">
        <v>436</v>
      </c>
      <c r="I4" s="2" t="s">
        <v>410</v>
      </c>
      <c r="J4" s="2" t="s">
        <v>436</v>
      </c>
      <c r="K4" s="2" t="s">
        <v>1224</v>
      </c>
      <c r="L4" s="2" t="s">
        <v>1194</v>
      </c>
      <c r="M4" s="2" t="s">
        <v>460</v>
      </c>
      <c r="N4" s="2" t="s">
        <v>478</v>
      </c>
      <c r="O4" s="2" t="s">
        <v>1214</v>
      </c>
      <c r="P4" s="2" t="s">
        <v>1225</v>
      </c>
      <c r="Q4" s="2" t="s">
        <v>1195</v>
      </c>
      <c r="R4" s="2" t="s">
        <v>410</v>
      </c>
      <c r="S4" s="2" t="s">
        <v>1198</v>
      </c>
      <c r="T4" s="2" t="s">
        <v>1199</v>
      </c>
      <c r="U4" s="2" t="s">
        <v>1200</v>
      </c>
      <c r="V4" s="2" t="s">
        <v>1201</v>
      </c>
      <c r="W4" s="2" t="s">
        <v>1202</v>
      </c>
      <c r="X4" s="2" t="s">
        <v>1203</v>
      </c>
      <c r="Y4" s="2" t="s">
        <v>995</v>
      </c>
      <c r="Z4" s="2" t="s">
        <v>1226</v>
      </c>
      <c r="AA4" s="2" t="s">
        <v>1227</v>
      </c>
      <c r="AB4" s="2" t="s">
        <v>1228</v>
      </c>
      <c r="AC4" s="2" t="s">
        <v>1229</v>
      </c>
      <c r="AD4" s="2" t="s">
        <v>1230</v>
      </c>
      <c r="AE4" s="2" t="s">
        <v>1231</v>
      </c>
    </row>
    <row r="5" spans="1:31" x14ac:dyDescent="0.45">
      <c r="A5" s="2" t="s">
        <v>122</v>
      </c>
      <c r="B5" s="2" t="s">
        <v>1232</v>
      </c>
      <c r="C5" s="2">
        <v>1</v>
      </c>
      <c r="D5" s="2" t="s">
        <v>1233</v>
      </c>
      <c r="E5" s="2" t="s">
        <v>436</v>
      </c>
      <c r="F5" s="2" t="s">
        <v>436</v>
      </c>
      <c r="G5" s="2" t="s">
        <v>436</v>
      </c>
      <c r="H5" s="2" t="s">
        <v>436</v>
      </c>
      <c r="I5" s="2" t="s">
        <v>410</v>
      </c>
      <c r="J5" s="2" t="s">
        <v>436</v>
      </c>
      <c r="K5" s="2" t="s">
        <v>1212</v>
      </c>
      <c r="L5" s="2" t="s">
        <v>1213</v>
      </c>
      <c r="M5" s="2" t="s">
        <v>460</v>
      </c>
      <c r="N5" s="2" t="s">
        <v>478</v>
      </c>
      <c r="O5" s="2" t="s">
        <v>1214</v>
      </c>
      <c r="P5" s="2" t="s">
        <v>1234</v>
      </c>
      <c r="Q5" s="2" t="s">
        <v>1195</v>
      </c>
      <c r="R5" s="2" t="s">
        <v>410</v>
      </c>
      <c r="S5" s="2" t="s">
        <v>1198</v>
      </c>
      <c r="T5" s="2" t="s">
        <v>1199</v>
      </c>
      <c r="U5" s="2" t="s">
        <v>1200</v>
      </c>
      <c r="V5" s="2" t="s">
        <v>1201</v>
      </c>
      <c r="W5" s="2" t="s">
        <v>1202</v>
      </c>
      <c r="X5" s="2" t="s">
        <v>1203</v>
      </c>
      <c r="Y5" s="2" t="s">
        <v>478</v>
      </c>
      <c r="Z5" s="2" t="s">
        <v>1204</v>
      </c>
      <c r="AA5" s="2" t="s">
        <v>1205</v>
      </c>
      <c r="AB5" s="2" t="s">
        <v>1206</v>
      </c>
      <c r="AC5" s="2" t="s">
        <v>1207</v>
      </c>
      <c r="AD5" s="2" t="s">
        <v>1208</v>
      </c>
      <c r="AE5" s="2" t="s">
        <v>1209</v>
      </c>
    </row>
    <row r="6" spans="1:31" ht="23.25" x14ac:dyDescent="0.45">
      <c r="A6" s="2" t="s">
        <v>122</v>
      </c>
      <c r="B6" s="2" t="s">
        <v>1235</v>
      </c>
      <c r="C6" s="2">
        <v>8</v>
      </c>
      <c r="D6" s="2" t="s">
        <v>1236</v>
      </c>
      <c r="E6" s="2" t="s">
        <v>436</v>
      </c>
      <c r="F6" s="2" t="s">
        <v>436</v>
      </c>
      <c r="G6" s="2" t="s">
        <v>436</v>
      </c>
      <c r="H6" s="2" t="s">
        <v>436</v>
      </c>
      <c r="I6" s="2" t="s">
        <v>410</v>
      </c>
      <c r="J6" s="2" t="s">
        <v>436</v>
      </c>
      <c r="K6" s="2" t="s">
        <v>410</v>
      </c>
      <c r="L6" s="2" t="s">
        <v>410</v>
      </c>
      <c r="M6" s="2" t="s">
        <v>460</v>
      </c>
      <c r="N6" s="2" t="s">
        <v>478</v>
      </c>
      <c r="O6" s="2" t="s">
        <v>1214</v>
      </c>
      <c r="P6" s="2" t="s">
        <v>410</v>
      </c>
      <c r="Q6" s="2" t="s">
        <v>1195</v>
      </c>
      <c r="R6" s="2" t="s">
        <v>410</v>
      </c>
      <c r="S6" s="2" t="s">
        <v>1198</v>
      </c>
      <c r="T6" s="2" t="s">
        <v>1199</v>
      </c>
      <c r="U6" s="2" t="s">
        <v>1200</v>
      </c>
      <c r="V6" s="2" t="s">
        <v>1201</v>
      </c>
      <c r="W6" s="2" t="s">
        <v>1202</v>
      </c>
      <c r="X6" s="2" t="s">
        <v>1203</v>
      </c>
      <c r="Y6" s="2" t="s">
        <v>478</v>
      </c>
      <c r="Z6" s="2" t="s">
        <v>1237</v>
      </c>
      <c r="AA6" s="2" t="s">
        <v>1238</v>
      </c>
      <c r="AB6" s="2" t="s">
        <v>1239</v>
      </c>
      <c r="AC6" s="2" t="s">
        <v>1240</v>
      </c>
      <c r="AD6" s="2" t="s">
        <v>1241</v>
      </c>
      <c r="AE6" s="2" t="s">
        <v>1242</v>
      </c>
    </row>
    <row r="7" spans="1:31" x14ac:dyDescent="0.45">
      <c r="A7" s="2" t="s">
        <v>122</v>
      </c>
      <c r="B7" s="2" t="s">
        <v>1243</v>
      </c>
      <c r="C7" s="2">
        <v>12</v>
      </c>
      <c r="D7" s="2" t="s">
        <v>1244</v>
      </c>
      <c r="E7" s="2" t="s">
        <v>410</v>
      </c>
      <c r="F7" s="2" t="s">
        <v>410</v>
      </c>
      <c r="G7" s="2" t="s">
        <v>410</v>
      </c>
      <c r="H7" s="2" t="s">
        <v>410</v>
      </c>
      <c r="I7" s="2" t="s">
        <v>410</v>
      </c>
      <c r="J7" s="2" t="s">
        <v>436</v>
      </c>
      <c r="K7" s="2" t="s">
        <v>410</v>
      </c>
      <c r="L7" s="2" t="s">
        <v>410</v>
      </c>
      <c r="M7" s="2" t="s">
        <v>460</v>
      </c>
      <c r="N7" s="2" t="s">
        <v>478</v>
      </c>
      <c r="O7" s="2" t="s">
        <v>1214</v>
      </c>
      <c r="P7" s="2" t="s">
        <v>436</v>
      </c>
      <c r="Q7" s="2" t="s">
        <v>410</v>
      </c>
      <c r="R7" s="2" t="s">
        <v>436</v>
      </c>
      <c r="S7" s="2" t="s">
        <v>478</v>
      </c>
      <c r="T7" s="2" t="s">
        <v>478</v>
      </c>
      <c r="U7" s="2" t="s">
        <v>478</v>
      </c>
      <c r="V7" s="2" t="s">
        <v>478</v>
      </c>
      <c r="W7" s="2" t="s">
        <v>1202</v>
      </c>
      <c r="X7" s="2" t="s">
        <v>1203</v>
      </c>
      <c r="Y7" s="2" t="s">
        <v>478</v>
      </c>
      <c r="Z7" s="2" t="s">
        <v>1245</v>
      </c>
      <c r="AA7" s="2" t="s">
        <v>1245</v>
      </c>
      <c r="AB7" s="2" t="s">
        <v>1245</v>
      </c>
      <c r="AC7" s="2" t="s">
        <v>1245</v>
      </c>
      <c r="AD7" s="2" t="s">
        <v>1245</v>
      </c>
      <c r="AE7" s="2" t="s">
        <v>1245</v>
      </c>
    </row>
    <row r="8" spans="1:31" ht="46.5" x14ac:dyDescent="0.45">
      <c r="A8" s="2" t="s">
        <v>122</v>
      </c>
      <c r="B8" s="2" t="s">
        <v>1246</v>
      </c>
      <c r="C8" s="2">
        <v>56</v>
      </c>
      <c r="D8" s="2" t="s">
        <v>1247</v>
      </c>
      <c r="E8" s="2" t="s">
        <v>410</v>
      </c>
      <c r="F8" s="2" t="s">
        <v>436</v>
      </c>
      <c r="G8" s="2" t="s">
        <v>436</v>
      </c>
      <c r="H8" s="2" t="s">
        <v>436</v>
      </c>
      <c r="I8" s="2" t="s">
        <v>410</v>
      </c>
      <c r="J8" s="2" t="s">
        <v>436</v>
      </c>
      <c r="K8" s="2" t="s">
        <v>410</v>
      </c>
      <c r="L8" s="2" t="s">
        <v>410</v>
      </c>
      <c r="M8" s="2" t="s">
        <v>460</v>
      </c>
      <c r="N8" s="2" t="s">
        <v>478</v>
      </c>
      <c r="O8" s="2" t="s">
        <v>1214</v>
      </c>
      <c r="P8" s="2" t="s">
        <v>1248</v>
      </c>
      <c r="Q8" s="2" t="s">
        <v>1195</v>
      </c>
      <c r="R8" s="2" t="s">
        <v>410</v>
      </c>
      <c r="S8" s="2" t="s">
        <v>1198</v>
      </c>
      <c r="T8" s="2" t="s">
        <v>1199</v>
      </c>
      <c r="U8" s="2" t="s">
        <v>1200</v>
      </c>
      <c r="V8" s="2" t="s">
        <v>1201</v>
      </c>
      <c r="W8" s="2" t="s">
        <v>1202</v>
      </c>
      <c r="X8" s="2" t="s">
        <v>1203</v>
      </c>
      <c r="Y8" s="2" t="s">
        <v>1249</v>
      </c>
      <c r="Z8" s="2" t="s">
        <v>1250</v>
      </c>
      <c r="AA8" s="2" t="s">
        <v>1251</v>
      </c>
      <c r="AB8" s="2" t="s">
        <v>1252</v>
      </c>
      <c r="AC8" s="2" t="s">
        <v>1253</v>
      </c>
      <c r="AD8" s="2" t="s">
        <v>1254</v>
      </c>
      <c r="AE8" s="2" t="s">
        <v>1255</v>
      </c>
    </row>
    <row r="9" spans="1:31" x14ac:dyDescent="0.45">
      <c r="A9" s="2" t="s">
        <v>122</v>
      </c>
      <c r="B9" s="2" t="s">
        <v>1256</v>
      </c>
      <c r="C9" s="2">
        <v>12</v>
      </c>
      <c r="D9" s="2" t="s">
        <v>1257</v>
      </c>
      <c r="E9" s="2" t="s">
        <v>410</v>
      </c>
      <c r="F9" s="2" t="s">
        <v>436</v>
      </c>
      <c r="G9" s="2" t="s">
        <v>436</v>
      </c>
      <c r="H9" s="2" t="s">
        <v>436</v>
      </c>
      <c r="I9" s="2" t="s">
        <v>410</v>
      </c>
      <c r="J9" s="2" t="s">
        <v>436</v>
      </c>
      <c r="K9" s="2" t="s">
        <v>478</v>
      </c>
      <c r="L9" s="2" t="s">
        <v>410</v>
      </c>
      <c r="M9" s="2" t="s">
        <v>460</v>
      </c>
      <c r="N9" s="2" t="s">
        <v>478</v>
      </c>
      <c r="O9" s="2" t="s">
        <v>478</v>
      </c>
      <c r="P9" s="2" t="s">
        <v>1258</v>
      </c>
      <c r="Q9" s="2" t="s">
        <v>410</v>
      </c>
      <c r="R9" s="2" t="s">
        <v>1258</v>
      </c>
      <c r="S9" s="2" t="s">
        <v>1198</v>
      </c>
      <c r="T9" s="2" t="s">
        <v>1199</v>
      </c>
      <c r="U9" s="2" t="s">
        <v>1200</v>
      </c>
      <c r="V9" s="2" t="s">
        <v>1201</v>
      </c>
      <c r="W9" s="2" t="s">
        <v>478</v>
      </c>
      <c r="X9" s="2" t="s">
        <v>478</v>
      </c>
      <c r="Y9" s="2" t="s">
        <v>478</v>
      </c>
      <c r="Z9" s="2" t="s">
        <v>1259</v>
      </c>
      <c r="AA9" s="2" t="s">
        <v>1260</v>
      </c>
      <c r="AB9" s="2" t="s">
        <v>1261</v>
      </c>
      <c r="AC9" s="2" t="s">
        <v>1262</v>
      </c>
      <c r="AD9" s="2" t="s">
        <v>1263</v>
      </c>
      <c r="AE9" s="2" t="s">
        <v>1264</v>
      </c>
    </row>
    <row r="10" spans="1:31" ht="23.25" x14ac:dyDescent="0.45">
      <c r="A10" s="2" t="s">
        <v>122</v>
      </c>
      <c r="B10" s="2" t="s">
        <v>1265</v>
      </c>
      <c r="C10" s="2">
        <v>9</v>
      </c>
      <c r="D10" s="2" t="s">
        <v>1258</v>
      </c>
      <c r="E10" s="2" t="s">
        <v>410</v>
      </c>
      <c r="F10" s="2" t="s">
        <v>410</v>
      </c>
      <c r="G10" s="2" t="s">
        <v>410</v>
      </c>
      <c r="H10" s="2" t="s">
        <v>410</v>
      </c>
      <c r="I10" s="2" t="s">
        <v>410</v>
      </c>
      <c r="J10" s="2" t="s">
        <v>436</v>
      </c>
      <c r="K10" s="2" t="s">
        <v>410</v>
      </c>
      <c r="L10" s="2" t="s">
        <v>410</v>
      </c>
      <c r="M10" s="2" t="s">
        <v>460</v>
      </c>
      <c r="N10" s="2" t="s">
        <v>478</v>
      </c>
      <c r="O10" s="2" t="s">
        <v>1266</v>
      </c>
      <c r="P10" s="2" t="s">
        <v>436</v>
      </c>
      <c r="Q10" s="2" t="s">
        <v>410</v>
      </c>
      <c r="R10" s="2" t="s">
        <v>436</v>
      </c>
      <c r="S10" s="2" t="s">
        <v>478</v>
      </c>
      <c r="T10" s="2" t="s">
        <v>478</v>
      </c>
      <c r="U10" s="2" t="s">
        <v>478</v>
      </c>
      <c r="V10" s="2" t="s">
        <v>478</v>
      </c>
      <c r="W10" s="2" t="s">
        <v>1202</v>
      </c>
      <c r="X10" s="2" t="s">
        <v>1203</v>
      </c>
      <c r="Y10" s="2" t="s">
        <v>1267</v>
      </c>
      <c r="Z10" s="2" t="s">
        <v>1268</v>
      </c>
      <c r="AA10" s="2" t="s">
        <v>1269</v>
      </c>
      <c r="AB10" s="2" t="s">
        <v>1270</v>
      </c>
      <c r="AC10" s="2" t="s">
        <v>1271</v>
      </c>
      <c r="AD10" s="2" t="s">
        <v>1272</v>
      </c>
      <c r="AE10" s="2" t="s">
        <v>1273</v>
      </c>
    </row>
    <row r="11" spans="1:31" ht="23.25" x14ac:dyDescent="0.45">
      <c r="A11" s="2" t="s">
        <v>122</v>
      </c>
      <c r="B11" s="2" t="s">
        <v>1274</v>
      </c>
      <c r="C11" s="2">
        <v>13</v>
      </c>
      <c r="D11" s="2" t="s">
        <v>1275</v>
      </c>
      <c r="E11" s="2" t="s">
        <v>410</v>
      </c>
      <c r="F11" s="2" t="s">
        <v>436</v>
      </c>
      <c r="G11" s="2" t="s">
        <v>436</v>
      </c>
      <c r="H11" s="2" t="s">
        <v>436</v>
      </c>
      <c r="I11" s="2" t="s">
        <v>410</v>
      </c>
      <c r="J11" s="2" t="s">
        <v>436</v>
      </c>
      <c r="K11" s="2" t="s">
        <v>410</v>
      </c>
      <c r="L11" s="2" t="s">
        <v>410</v>
      </c>
      <c r="M11" s="2" t="s">
        <v>460</v>
      </c>
      <c r="N11" s="2" t="s">
        <v>478</v>
      </c>
      <c r="O11" s="2" t="s">
        <v>1214</v>
      </c>
      <c r="P11" s="2" t="s">
        <v>410</v>
      </c>
      <c r="Q11" s="2" t="s">
        <v>1195</v>
      </c>
      <c r="R11" s="2" t="s">
        <v>410</v>
      </c>
      <c r="S11" s="2" t="s">
        <v>1198</v>
      </c>
      <c r="T11" s="2" t="s">
        <v>1199</v>
      </c>
      <c r="U11" s="2" t="s">
        <v>1200</v>
      </c>
      <c r="V11" s="2" t="s">
        <v>1201</v>
      </c>
      <c r="W11" s="2" t="s">
        <v>1202</v>
      </c>
      <c r="X11" s="2" t="s">
        <v>1203</v>
      </c>
      <c r="Y11" s="2" t="s">
        <v>1276</v>
      </c>
      <c r="Z11" s="2" t="s">
        <v>1277</v>
      </c>
      <c r="AA11" s="2" t="s">
        <v>1278</v>
      </c>
      <c r="AB11" s="2" t="s">
        <v>1279</v>
      </c>
      <c r="AC11" s="2" t="s">
        <v>1280</v>
      </c>
      <c r="AD11" s="2" t="s">
        <v>1281</v>
      </c>
      <c r="AE11" s="2" t="s">
        <v>1282</v>
      </c>
    </row>
    <row r="12" spans="1:31" x14ac:dyDescent="0.45">
      <c r="A12" s="2" t="s">
        <v>122</v>
      </c>
      <c r="B12" s="2" t="s">
        <v>1283</v>
      </c>
      <c r="C12" s="2">
        <v>1</v>
      </c>
      <c r="D12" s="2" t="s">
        <v>1284</v>
      </c>
      <c r="E12" s="2" t="s">
        <v>410</v>
      </c>
      <c r="F12" s="2" t="s">
        <v>436</v>
      </c>
      <c r="G12" s="2" t="s">
        <v>436</v>
      </c>
      <c r="H12" s="2" t="s">
        <v>436</v>
      </c>
      <c r="I12" s="2" t="s">
        <v>410</v>
      </c>
      <c r="J12" s="2" t="s">
        <v>436</v>
      </c>
      <c r="K12" s="2" t="s">
        <v>410</v>
      </c>
      <c r="L12" s="2" t="s">
        <v>410</v>
      </c>
      <c r="M12" s="2" t="s">
        <v>460</v>
      </c>
      <c r="N12" s="2" t="s">
        <v>478</v>
      </c>
      <c r="O12" s="2" t="s">
        <v>1285</v>
      </c>
      <c r="P12" s="2" t="s">
        <v>410</v>
      </c>
      <c r="Q12" s="2" t="s">
        <v>1195</v>
      </c>
      <c r="R12" s="2" t="s">
        <v>410</v>
      </c>
      <c r="S12" s="2" t="s">
        <v>1198</v>
      </c>
      <c r="T12" s="2" t="s">
        <v>1199</v>
      </c>
      <c r="U12" s="2" t="s">
        <v>1200</v>
      </c>
      <c r="V12" s="2" t="s">
        <v>1201</v>
      </c>
      <c r="W12" s="2" t="s">
        <v>1202</v>
      </c>
      <c r="X12" s="2" t="s">
        <v>1203</v>
      </c>
      <c r="Y12" s="2" t="s">
        <v>478</v>
      </c>
      <c r="Z12" s="2" t="s">
        <v>1204</v>
      </c>
      <c r="AA12" s="2" t="s">
        <v>1205</v>
      </c>
      <c r="AB12" s="2" t="s">
        <v>1206</v>
      </c>
      <c r="AC12" s="2" t="s">
        <v>1207</v>
      </c>
      <c r="AD12" s="2" t="s">
        <v>1208</v>
      </c>
      <c r="AE12" s="2" t="s">
        <v>1209</v>
      </c>
    </row>
    <row r="13" spans="1:31" ht="58.15" x14ac:dyDescent="0.45">
      <c r="A13" s="2" t="s">
        <v>224</v>
      </c>
      <c r="B13" s="2" t="s">
        <v>1210</v>
      </c>
      <c r="C13" s="2">
        <v>4</v>
      </c>
      <c r="D13" s="2" t="s">
        <v>1211</v>
      </c>
      <c r="E13" s="2" t="s">
        <v>436</v>
      </c>
      <c r="F13" s="2" t="s">
        <v>436</v>
      </c>
      <c r="G13" s="2" t="s">
        <v>436</v>
      </c>
      <c r="H13" s="2" t="s">
        <v>436</v>
      </c>
      <c r="I13" s="2" t="s">
        <v>410</v>
      </c>
      <c r="J13" s="2" t="s">
        <v>436</v>
      </c>
      <c r="K13" s="2" t="s">
        <v>1212</v>
      </c>
      <c r="L13" s="2" t="s">
        <v>1213</v>
      </c>
      <c r="M13" s="2" t="s">
        <v>460</v>
      </c>
      <c r="N13" s="2" t="s">
        <v>478</v>
      </c>
      <c r="O13" s="2" t="s">
        <v>1214</v>
      </c>
      <c r="P13" s="2" t="s">
        <v>1286</v>
      </c>
      <c r="Q13" s="2" t="s">
        <v>1195</v>
      </c>
      <c r="R13" s="2" t="s">
        <v>410</v>
      </c>
      <c r="S13" s="2" t="s">
        <v>1198</v>
      </c>
      <c r="T13" s="2" t="s">
        <v>1199</v>
      </c>
      <c r="U13" s="2" t="s">
        <v>1200</v>
      </c>
      <c r="V13" s="2" t="s">
        <v>1201</v>
      </c>
      <c r="W13" s="2" t="s">
        <v>1202</v>
      </c>
      <c r="X13" s="2" t="s">
        <v>1203</v>
      </c>
      <c r="Y13" s="2" t="s">
        <v>1287</v>
      </c>
      <c r="Z13" s="2" t="s">
        <v>1288</v>
      </c>
      <c r="AA13" s="2" t="s">
        <v>1289</v>
      </c>
      <c r="AB13" s="2" t="s">
        <v>1290</v>
      </c>
      <c r="AC13" s="2" t="s">
        <v>1291</v>
      </c>
      <c r="AD13" s="2" t="s">
        <v>1292</v>
      </c>
      <c r="AE13" s="2" t="s">
        <v>1293</v>
      </c>
    </row>
    <row r="14" spans="1:31" ht="23.25" x14ac:dyDescent="0.45">
      <c r="A14" s="2" t="s">
        <v>224</v>
      </c>
      <c r="B14" s="2" t="s">
        <v>1223</v>
      </c>
      <c r="C14" s="2">
        <v>1</v>
      </c>
      <c r="D14" s="2" t="s">
        <v>460</v>
      </c>
      <c r="E14" s="2" t="s">
        <v>436</v>
      </c>
      <c r="F14" s="2" t="s">
        <v>436</v>
      </c>
      <c r="G14" s="2" t="s">
        <v>436</v>
      </c>
      <c r="H14" s="2" t="s">
        <v>436</v>
      </c>
      <c r="I14" s="2" t="s">
        <v>410</v>
      </c>
      <c r="J14" s="2" t="s">
        <v>436</v>
      </c>
      <c r="K14" s="2" t="s">
        <v>1224</v>
      </c>
      <c r="L14" s="2" t="s">
        <v>1194</v>
      </c>
      <c r="M14" s="2" t="s">
        <v>460</v>
      </c>
      <c r="N14" s="2" t="s">
        <v>478</v>
      </c>
      <c r="O14" s="2" t="s">
        <v>1214</v>
      </c>
      <c r="P14" s="2" t="s">
        <v>1294</v>
      </c>
      <c r="Q14" s="2" t="s">
        <v>1195</v>
      </c>
      <c r="R14" s="2" t="s">
        <v>410</v>
      </c>
      <c r="S14" s="2" t="s">
        <v>1198</v>
      </c>
      <c r="T14" s="2" t="s">
        <v>1199</v>
      </c>
      <c r="U14" s="2" t="s">
        <v>1200</v>
      </c>
      <c r="V14" s="2" t="s">
        <v>1201</v>
      </c>
      <c r="W14" s="2" t="s">
        <v>1202</v>
      </c>
      <c r="X14" s="2" t="s">
        <v>1203</v>
      </c>
      <c r="Y14" s="2" t="s">
        <v>995</v>
      </c>
      <c r="Z14" s="2" t="s">
        <v>1204</v>
      </c>
      <c r="AA14" s="2" t="s">
        <v>1295</v>
      </c>
      <c r="AB14" s="2" t="s">
        <v>1296</v>
      </c>
      <c r="AC14" s="2" t="s">
        <v>1207</v>
      </c>
      <c r="AD14" s="2" t="s">
        <v>1208</v>
      </c>
      <c r="AE14" s="2" t="s">
        <v>1209</v>
      </c>
    </row>
    <row r="15" spans="1:31" ht="23.25" x14ac:dyDescent="0.45">
      <c r="A15" s="2" t="s">
        <v>224</v>
      </c>
      <c r="B15" s="2" t="s">
        <v>1235</v>
      </c>
      <c r="C15" s="2">
        <v>8</v>
      </c>
      <c r="D15" s="2" t="s">
        <v>1236</v>
      </c>
      <c r="E15" s="2" t="s">
        <v>436</v>
      </c>
      <c r="F15" s="2" t="s">
        <v>436</v>
      </c>
      <c r="G15" s="2" t="s">
        <v>436</v>
      </c>
      <c r="H15" s="2" t="s">
        <v>436</v>
      </c>
      <c r="I15" s="2" t="s">
        <v>410</v>
      </c>
      <c r="J15" s="2" t="s">
        <v>436</v>
      </c>
      <c r="K15" s="2" t="s">
        <v>410</v>
      </c>
      <c r="L15" s="2" t="s">
        <v>410</v>
      </c>
      <c r="M15" s="2" t="s">
        <v>460</v>
      </c>
      <c r="N15" s="2" t="s">
        <v>478</v>
      </c>
      <c r="O15" s="2" t="s">
        <v>1214</v>
      </c>
      <c r="P15" s="2" t="s">
        <v>410</v>
      </c>
      <c r="Q15" s="2" t="s">
        <v>1195</v>
      </c>
      <c r="R15" s="2" t="s">
        <v>410</v>
      </c>
      <c r="S15" s="2" t="s">
        <v>1198</v>
      </c>
      <c r="T15" s="2" t="s">
        <v>1199</v>
      </c>
      <c r="U15" s="2" t="s">
        <v>1200</v>
      </c>
      <c r="V15" s="2" t="s">
        <v>1201</v>
      </c>
      <c r="W15" s="2" t="s">
        <v>1202</v>
      </c>
      <c r="X15" s="2" t="s">
        <v>1203</v>
      </c>
      <c r="Y15" s="2" t="s">
        <v>1297</v>
      </c>
      <c r="Z15" s="2" t="s">
        <v>1298</v>
      </c>
      <c r="AA15" s="2" t="s">
        <v>1299</v>
      </c>
      <c r="AB15" s="2" t="s">
        <v>1300</v>
      </c>
      <c r="AC15" s="2" t="s">
        <v>1301</v>
      </c>
      <c r="AD15" s="2" t="s">
        <v>1302</v>
      </c>
      <c r="AE15" s="2" t="s">
        <v>1303</v>
      </c>
    </row>
    <row r="16" spans="1:31" x14ac:dyDescent="0.45">
      <c r="A16" s="2" t="s">
        <v>224</v>
      </c>
      <c r="B16" s="2" t="s">
        <v>1243</v>
      </c>
      <c r="C16" s="2">
        <v>5</v>
      </c>
      <c r="D16" s="2" t="s">
        <v>1244</v>
      </c>
      <c r="E16" s="2" t="s">
        <v>410</v>
      </c>
      <c r="F16" s="2" t="s">
        <v>410</v>
      </c>
      <c r="G16" s="2" t="s">
        <v>410</v>
      </c>
      <c r="H16" s="2" t="s">
        <v>410</v>
      </c>
      <c r="I16" s="2" t="s">
        <v>410</v>
      </c>
      <c r="J16" s="2" t="s">
        <v>436</v>
      </c>
      <c r="K16" s="2" t="s">
        <v>410</v>
      </c>
      <c r="L16" s="2" t="s">
        <v>410</v>
      </c>
      <c r="M16" s="2" t="s">
        <v>460</v>
      </c>
      <c r="N16" s="2" t="s">
        <v>478</v>
      </c>
      <c r="O16" s="2" t="s">
        <v>1214</v>
      </c>
      <c r="P16" s="2" t="s">
        <v>436</v>
      </c>
      <c r="Q16" s="2" t="s">
        <v>410</v>
      </c>
      <c r="R16" s="2" t="s">
        <v>436</v>
      </c>
      <c r="S16" s="2" t="s">
        <v>478</v>
      </c>
      <c r="T16" s="2" t="s">
        <v>478</v>
      </c>
      <c r="U16" s="2" t="s">
        <v>478</v>
      </c>
      <c r="V16" s="2" t="s">
        <v>478</v>
      </c>
      <c r="W16" s="2" t="s">
        <v>1202</v>
      </c>
      <c r="X16" s="2" t="s">
        <v>1203</v>
      </c>
      <c r="Y16" s="2" t="s">
        <v>478</v>
      </c>
      <c r="Z16" s="2" t="s">
        <v>1304</v>
      </c>
      <c r="AA16" s="2" t="s">
        <v>1305</v>
      </c>
      <c r="AB16" s="2" t="s">
        <v>1306</v>
      </c>
      <c r="AC16" s="2" t="s">
        <v>1307</v>
      </c>
      <c r="AD16" s="2" t="s">
        <v>1307</v>
      </c>
      <c r="AE16" s="2" t="s">
        <v>1307</v>
      </c>
    </row>
    <row r="17" spans="1:31" ht="23.25" x14ac:dyDescent="0.45">
      <c r="A17" s="2" t="s">
        <v>224</v>
      </c>
      <c r="B17" s="2" t="s">
        <v>1246</v>
      </c>
      <c r="C17" s="2">
        <v>8</v>
      </c>
      <c r="D17" s="2" t="s">
        <v>1247</v>
      </c>
      <c r="E17" s="2" t="s">
        <v>410</v>
      </c>
      <c r="F17" s="2" t="s">
        <v>436</v>
      </c>
      <c r="G17" s="2" t="s">
        <v>436</v>
      </c>
      <c r="H17" s="2" t="s">
        <v>436</v>
      </c>
      <c r="I17" s="2" t="s">
        <v>410</v>
      </c>
      <c r="J17" s="2" t="s">
        <v>436</v>
      </c>
      <c r="K17" s="2" t="s">
        <v>410</v>
      </c>
      <c r="L17" s="2" t="s">
        <v>410</v>
      </c>
      <c r="M17" s="2" t="s">
        <v>460</v>
      </c>
      <c r="N17" s="2" t="s">
        <v>478</v>
      </c>
      <c r="O17" s="2" t="s">
        <v>1214</v>
      </c>
      <c r="P17" s="2" t="s">
        <v>410</v>
      </c>
      <c r="Q17" s="2" t="s">
        <v>1195</v>
      </c>
      <c r="R17" s="2" t="s">
        <v>410</v>
      </c>
      <c r="S17" s="2" t="s">
        <v>1198</v>
      </c>
      <c r="T17" s="2" t="s">
        <v>1199</v>
      </c>
      <c r="U17" s="2" t="s">
        <v>1200</v>
      </c>
      <c r="V17" s="2" t="s">
        <v>1201</v>
      </c>
      <c r="W17" s="2" t="s">
        <v>1202</v>
      </c>
      <c r="X17" s="2" t="s">
        <v>1203</v>
      </c>
      <c r="Y17" s="2" t="s">
        <v>987</v>
      </c>
      <c r="Z17" s="2" t="s">
        <v>1308</v>
      </c>
      <c r="AA17" s="2" t="s">
        <v>1309</v>
      </c>
      <c r="AB17" s="2" t="s">
        <v>1310</v>
      </c>
      <c r="AC17" s="2" t="s">
        <v>1311</v>
      </c>
      <c r="AD17" s="2" t="s">
        <v>1311</v>
      </c>
      <c r="AE17" s="2" t="s">
        <v>1311</v>
      </c>
    </row>
    <row r="18" spans="1:31" ht="23.25" x14ac:dyDescent="0.45">
      <c r="A18" s="2" t="s">
        <v>224</v>
      </c>
      <c r="B18" s="2" t="s">
        <v>1256</v>
      </c>
      <c r="C18" s="2">
        <v>7</v>
      </c>
      <c r="D18" s="2" t="s">
        <v>1257</v>
      </c>
      <c r="E18" s="2" t="s">
        <v>410</v>
      </c>
      <c r="F18" s="2" t="s">
        <v>436</v>
      </c>
      <c r="G18" s="2" t="s">
        <v>436</v>
      </c>
      <c r="H18" s="2" t="s">
        <v>436</v>
      </c>
      <c r="I18" s="2" t="s">
        <v>410</v>
      </c>
      <c r="J18" s="2" t="s">
        <v>436</v>
      </c>
      <c r="K18" s="2" t="s">
        <v>478</v>
      </c>
      <c r="L18" s="2" t="s">
        <v>410</v>
      </c>
      <c r="M18" s="2" t="s">
        <v>460</v>
      </c>
      <c r="N18" s="2" t="s">
        <v>478</v>
      </c>
      <c r="O18" s="2" t="s">
        <v>478</v>
      </c>
      <c r="P18" s="2" t="s">
        <v>1258</v>
      </c>
      <c r="Q18" s="2" t="s">
        <v>410</v>
      </c>
      <c r="R18" s="2" t="s">
        <v>1258</v>
      </c>
      <c r="S18" s="2" t="s">
        <v>1198</v>
      </c>
      <c r="T18" s="2" t="s">
        <v>1199</v>
      </c>
      <c r="U18" s="2" t="s">
        <v>1200</v>
      </c>
      <c r="V18" s="2" t="s">
        <v>1201</v>
      </c>
      <c r="W18" s="2" t="s">
        <v>478</v>
      </c>
      <c r="X18" s="2" t="s">
        <v>478</v>
      </c>
      <c r="Y18" s="2" t="s">
        <v>478</v>
      </c>
      <c r="Z18" s="2" t="s">
        <v>1312</v>
      </c>
      <c r="AA18" s="2" t="s">
        <v>1313</v>
      </c>
      <c r="AB18" s="2" t="s">
        <v>1314</v>
      </c>
      <c r="AC18" s="2" t="s">
        <v>1315</v>
      </c>
      <c r="AD18" s="2" t="s">
        <v>1316</v>
      </c>
      <c r="AE18" s="2" t="s">
        <v>1317</v>
      </c>
    </row>
    <row r="19" spans="1:31" ht="23.25" x14ac:dyDescent="0.45">
      <c r="A19" s="2" t="s">
        <v>224</v>
      </c>
      <c r="B19" s="2" t="s">
        <v>1265</v>
      </c>
      <c r="C19" s="2">
        <v>5</v>
      </c>
      <c r="D19" s="2" t="s">
        <v>1258</v>
      </c>
      <c r="E19" s="2" t="s">
        <v>410</v>
      </c>
      <c r="F19" s="2" t="s">
        <v>410</v>
      </c>
      <c r="G19" s="2" t="s">
        <v>410</v>
      </c>
      <c r="H19" s="2" t="s">
        <v>410</v>
      </c>
      <c r="I19" s="2" t="s">
        <v>410</v>
      </c>
      <c r="J19" s="2" t="s">
        <v>436</v>
      </c>
      <c r="K19" s="2" t="s">
        <v>410</v>
      </c>
      <c r="L19" s="2" t="s">
        <v>410</v>
      </c>
      <c r="M19" s="2" t="s">
        <v>460</v>
      </c>
      <c r="N19" s="2" t="s">
        <v>478</v>
      </c>
      <c r="O19" s="2" t="s">
        <v>1266</v>
      </c>
      <c r="P19" s="2" t="s">
        <v>436</v>
      </c>
      <c r="Q19" s="2" t="s">
        <v>410</v>
      </c>
      <c r="R19" s="2" t="s">
        <v>436</v>
      </c>
      <c r="S19" s="2" t="s">
        <v>478</v>
      </c>
      <c r="T19" s="2" t="s">
        <v>478</v>
      </c>
      <c r="U19" s="2" t="s">
        <v>478</v>
      </c>
      <c r="V19" s="2" t="s">
        <v>478</v>
      </c>
      <c r="W19" s="2" t="s">
        <v>1202</v>
      </c>
      <c r="X19" s="2" t="s">
        <v>1203</v>
      </c>
      <c r="Y19" s="2" t="s">
        <v>1318</v>
      </c>
      <c r="Z19" s="2" t="s">
        <v>1319</v>
      </c>
      <c r="AA19" s="2" t="s">
        <v>1320</v>
      </c>
      <c r="AB19" s="2" t="s">
        <v>1321</v>
      </c>
      <c r="AC19" s="2" t="s">
        <v>1322</v>
      </c>
      <c r="AD19" s="2" t="s">
        <v>1323</v>
      </c>
      <c r="AE19" s="2" t="s">
        <v>1324</v>
      </c>
    </row>
    <row r="20" spans="1:31" ht="23.25" x14ac:dyDescent="0.45">
      <c r="A20" s="2" t="s">
        <v>224</v>
      </c>
      <c r="B20" s="2" t="s">
        <v>1274</v>
      </c>
      <c r="C20" s="2">
        <v>3</v>
      </c>
      <c r="D20" s="2" t="s">
        <v>1275</v>
      </c>
      <c r="E20" s="2" t="s">
        <v>410</v>
      </c>
      <c r="F20" s="2" t="s">
        <v>436</v>
      </c>
      <c r="G20" s="2" t="s">
        <v>436</v>
      </c>
      <c r="H20" s="2" t="s">
        <v>436</v>
      </c>
      <c r="I20" s="2" t="s">
        <v>410</v>
      </c>
      <c r="J20" s="2" t="s">
        <v>436</v>
      </c>
      <c r="K20" s="2" t="s">
        <v>410</v>
      </c>
      <c r="L20" s="2" t="s">
        <v>410</v>
      </c>
      <c r="M20" s="2" t="s">
        <v>460</v>
      </c>
      <c r="N20" s="2" t="s">
        <v>478</v>
      </c>
      <c r="O20" s="2" t="s">
        <v>1214</v>
      </c>
      <c r="P20" s="2" t="s">
        <v>410</v>
      </c>
      <c r="Q20" s="2" t="s">
        <v>1195</v>
      </c>
      <c r="R20" s="2" t="s">
        <v>410</v>
      </c>
      <c r="S20" s="2" t="s">
        <v>1198</v>
      </c>
      <c r="T20" s="2" t="s">
        <v>1199</v>
      </c>
      <c r="U20" s="2" t="s">
        <v>1200</v>
      </c>
      <c r="V20" s="2" t="s">
        <v>1201</v>
      </c>
      <c r="W20" s="2" t="s">
        <v>1202</v>
      </c>
      <c r="X20" s="2" t="s">
        <v>1203</v>
      </c>
      <c r="Y20" s="2" t="s">
        <v>478</v>
      </c>
      <c r="Z20" s="2" t="s">
        <v>1325</v>
      </c>
      <c r="AA20" s="2" t="s">
        <v>1326</v>
      </c>
      <c r="AB20" s="2" t="s">
        <v>1327</v>
      </c>
      <c r="AC20" s="2" t="s">
        <v>1328</v>
      </c>
      <c r="AD20" s="2" t="s">
        <v>1329</v>
      </c>
      <c r="AE20" s="2" t="s">
        <v>1330</v>
      </c>
    </row>
    <row r="21" spans="1:31" ht="23.25" x14ac:dyDescent="0.45">
      <c r="A21" s="2" t="s">
        <v>224</v>
      </c>
      <c r="B21" s="2" t="s">
        <v>1331</v>
      </c>
      <c r="C21" s="2">
        <v>3</v>
      </c>
      <c r="D21" s="2" t="s">
        <v>1332</v>
      </c>
      <c r="E21" s="2" t="s">
        <v>410</v>
      </c>
      <c r="F21" s="2" t="s">
        <v>410</v>
      </c>
      <c r="G21" s="2" t="s">
        <v>410</v>
      </c>
      <c r="H21" s="2" t="s">
        <v>410</v>
      </c>
      <c r="I21" s="2" t="s">
        <v>436</v>
      </c>
      <c r="J21" s="2" t="s">
        <v>436</v>
      </c>
      <c r="K21" s="2" t="s">
        <v>478</v>
      </c>
      <c r="L21" s="2" t="s">
        <v>1333</v>
      </c>
      <c r="M21" s="2" t="s">
        <v>460</v>
      </c>
      <c r="N21" s="2" t="s">
        <v>410</v>
      </c>
      <c r="O21" s="2" t="s">
        <v>1266</v>
      </c>
      <c r="P21" s="2" t="s">
        <v>478</v>
      </c>
      <c r="Q21" s="2" t="s">
        <v>410</v>
      </c>
      <c r="R21" s="2" t="s">
        <v>410</v>
      </c>
      <c r="S21" s="2" t="s">
        <v>478</v>
      </c>
      <c r="T21" s="2" t="s">
        <v>478</v>
      </c>
      <c r="U21" s="2" t="s">
        <v>478</v>
      </c>
      <c r="V21" s="2" t="s">
        <v>478</v>
      </c>
      <c r="W21" s="2" t="s">
        <v>478</v>
      </c>
      <c r="X21" s="2" t="s">
        <v>478</v>
      </c>
      <c r="Y21" s="2" t="s">
        <v>478</v>
      </c>
      <c r="Z21" s="2" t="s">
        <v>1334</v>
      </c>
      <c r="AA21" s="2" t="s">
        <v>1326</v>
      </c>
      <c r="AB21" s="2" t="s">
        <v>1335</v>
      </c>
      <c r="AC21" s="2" t="s">
        <v>1336</v>
      </c>
      <c r="AD21" s="2" t="s">
        <v>1336</v>
      </c>
      <c r="AE21" s="2" t="s">
        <v>1336</v>
      </c>
    </row>
    <row r="22" spans="1:31" x14ac:dyDescent="0.45">
      <c r="A22" s="2" t="s">
        <v>224</v>
      </c>
      <c r="B22" s="2" t="s">
        <v>1337</v>
      </c>
      <c r="C22" s="2">
        <v>1</v>
      </c>
      <c r="D22" s="2" t="s">
        <v>1338</v>
      </c>
      <c r="E22" s="2" t="s">
        <v>410</v>
      </c>
      <c r="F22" s="2" t="s">
        <v>410</v>
      </c>
      <c r="G22" s="2" t="s">
        <v>410</v>
      </c>
      <c r="H22" s="2" t="s">
        <v>410</v>
      </c>
      <c r="I22" s="2" t="s">
        <v>436</v>
      </c>
      <c r="J22" s="2" t="s">
        <v>436</v>
      </c>
      <c r="K22" s="2" t="s">
        <v>410</v>
      </c>
      <c r="L22" s="2" t="s">
        <v>410</v>
      </c>
      <c r="M22" s="2" t="s">
        <v>460</v>
      </c>
      <c r="N22" s="2" t="s">
        <v>478</v>
      </c>
      <c r="O22" s="2" t="s">
        <v>1285</v>
      </c>
      <c r="P22" s="2" t="s">
        <v>436</v>
      </c>
      <c r="Q22" s="2" t="s">
        <v>410</v>
      </c>
      <c r="R22" s="2" t="s">
        <v>436</v>
      </c>
      <c r="S22" s="2" t="s">
        <v>478</v>
      </c>
      <c r="T22" s="2" t="s">
        <v>478</v>
      </c>
      <c r="U22" s="2" t="s">
        <v>478</v>
      </c>
      <c r="V22" s="2" t="s">
        <v>478</v>
      </c>
      <c r="W22" s="2" t="s">
        <v>478</v>
      </c>
      <c r="X22" s="2" t="s">
        <v>478</v>
      </c>
      <c r="Y22" s="2" t="s">
        <v>478</v>
      </c>
      <c r="Z22" s="2" t="s">
        <v>1339</v>
      </c>
      <c r="AA22" s="2" t="s">
        <v>1339</v>
      </c>
      <c r="AB22" s="2" t="s">
        <v>1339</v>
      </c>
      <c r="AC22" s="2" t="s">
        <v>1339</v>
      </c>
      <c r="AD22" s="2" t="s">
        <v>1339</v>
      </c>
      <c r="AE22" s="2" t="s">
        <v>1339</v>
      </c>
    </row>
    <row r="23" spans="1:31" x14ac:dyDescent="0.45">
      <c r="A23" s="2" t="s">
        <v>224</v>
      </c>
      <c r="B23" s="2" t="s">
        <v>1340</v>
      </c>
      <c r="C23" s="2">
        <v>1</v>
      </c>
      <c r="D23" s="2" t="s">
        <v>1201</v>
      </c>
      <c r="E23" s="2" t="s">
        <v>436</v>
      </c>
      <c r="F23" s="2" t="s">
        <v>436</v>
      </c>
      <c r="G23" s="2" t="s">
        <v>436</v>
      </c>
      <c r="H23" s="2" t="s">
        <v>436</v>
      </c>
      <c r="I23" s="2" t="s">
        <v>410</v>
      </c>
      <c r="J23" s="2" t="s">
        <v>436</v>
      </c>
      <c r="K23" s="2" t="s">
        <v>979</v>
      </c>
      <c r="L23" s="2" t="s">
        <v>823</v>
      </c>
      <c r="M23" s="2" t="s">
        <v>460</v>
      </c>
      <c r="N23" s="2" t="s">
        <v>478</v>
      </c>
      <c r="O23" s="2" t="s">
        <v>1196</v>
      </c>
      <c r="P23" s="2" t="s">
        <v>1341</v>
      </c>
      <c r="Q23" s="2" t="s">
        <v>1195</v>
      </c>
      <c r="R23" s="2" t="s">
        <v>410</v>
      </c>
      <c r="S23" s="2" t="s">
        <v>1198</v>
      </c>
      <c r="T23" s="2" t="s">
        <v>1199</v>
      </c>
      <c r="U23" s="2" t="s">
        <v>1200</v>
      </c>
      <c r="V23" s="2" t="s">
        <v>1201</v>
      </c>
      <c r="W23" s="2" t="s">
        <v>1202</v>
      </c>
      <c r="X23" s="2" t="s">
        <v>1203</v>
      </c>
      <c r="Y23" s="2" t="s">
        <v>478</v>
      </c>
      <c r="Z23" s="2" t="s">
        <v>1204</v>
      </c>
      <c r="AA23" s="2" t="s">
        <v>1205</v>
      </c>
      <c r="AB23" s="2" t="s">
        <v>1296</v>
      </c>
      <c r="AC23" s="2" t="s">
        <v>1207</v>
      </c>
      <c r="AD23" s="2" t="s">
        <v>1208</v>
      </c>
      <c r="AE23" s="2" t="s">
        <v>1209</v>
      </c>
    </row>
    <row r="24" spans="1:31" ht="23.25" x14ac:dyDescent="0.45">
      <c r="A24" s="2" t="s">
        <v>224</v>
      </c>
      <c r="B24" s="2" t="s">
        <v>1283</v>
      </c>
      <c r="C24" s="2">
        <v>3</v>
      </c>
      <c r="D24" s="2" t="s">
        <v>1284</v>
      </c>
      <c r="E24" s="2" t="s">
        <v>410</v>
      </c>
      <c r="F24" s="2" t="s">
        <v>436</v>
      </c>
      <c r="G24" s="2" t="s">
        <v>436</v>
      </c>
      <c r="H24" s="2" t="s">
        <v>436</v>
      </c>
      <c r="I24" s="2" t="s">
        <v>410</v>
      </c>
      <c r="J24" s="2" t="s">
        <v>436</v>
      </c>
      <c r="K24" s="2" t="s">
        <v>410</v>
      </c>
      <c r="L24" s="2" t="s">
        <v>410</v>
      </c>
      <c r="M24" s="2" t="s">
        <v>460</v>
      </c>
      <c r="N24" s="2" t="s">
        <v>478</v>
      </c>
      <c r="O24" s="2" t="s">
        <v>1285</v>
      </c>
      <c r="P24" s="2" t="s">
        <v>410</v>
      </c>
      <c r="Q24" s="2" t="s">
        <v>1195</v>
      </c>
      <c r="R24" s="2" t="s">
        <v>410</v>
      </c>
      <c r="S24" s="2" t="s">
        <v>1198</v>
      </c>
      <c r="T24" s="2" t="s">
        <v>1199</v>
      </c>
      <c r="U24" s="2" t="s">
        <v>1200</v>
      </c>
      <c r="V24" s="2" t="s">
        <v>1201</v>
      </c>
      <c r="W24" s="2" t="s">
        <v>1202</v>
      </c>
      <c r="X24" s="2" t="s">
        <v>1203</v>
      </c>
      <c r="Y24" s="2" t="s">
        <v>1342</v>
      </c>
      <c r="Z24" s="2" t="s">
        <v>1325</v>
      </c>
      <c r="AA24" s="2" t="s">
        <v>1326</v>
      </c>
      <c r="AB24" s="2" t="s">
        <v>1335</v>
      </c>
      <c r="AC24" s="2" t="s">
        <v>1328</v>
      </c>
      <c r="AD24" s="2" t="s">
        <v>1329</v>
      </c>
      <c r="AE24" s="2" t="s">
        <v>1330</v>
      </c>
    </row>
  </sheetData>
  <autoFilter ref="A1:AE24" xr:uid="{00000000-0009-0000-0000-00000A000000}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8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14" customWidth="1"/>
    <col min="3" max="3" width="10" customWidth="1"/>
    <col min="4" max="4" width="18" customWidth="1"/>
    <col min="5" max="5" width="9" customWidth="1"/>
    <col min="6" max="6" width="18" customWidth="1"/>
    <col min="7" max="8" width="10" customWidth="1"/>
    <col min="9" max="9" width="18" customWidth="1"/>
    <col min="10" max="11" width="10" customWidth="1"/>
    <col min="12" max="13" width="11" customWidth="1"/>
    <col min="14" max="14" width="10" customWidth="1"/>
    <col min="15" max="17" width="14" customWidth="1"/>
    <col min="18" max="19" width="10" customWidth="1"/>
    <col min="20" max="21" width="18" customWidth="1"/>
    <col min="22" max="22" width="11" customWidth="1"/>
    <col min="23" max="24" width="9" customWidth="1"/>
  </cols>
  <sheetData>
    <row r="1" spans="1:24" ht="52.5" x14ac:dyDescent="0.45">
      <c r="A1" s="1" t="s">
        <v>96</v>
      </c>
      <c r="B1" s="1" t="s">
        <v>1343</v>
      </c>
      <c r="C1" s="1" t="s">
        <v>1344</v>
      </c>
      <c r="D1" s="1" t="s">
        <v>102</v>
      </c>
      <c r="E1" s="1" t="s">
        <v>1345</v>
      </c>
      <c r="F1" s="1" t="s">
        <v>1346</v>
      </c>
      <c r="G1" s="1" t="s">
        <v>1347</v>
      </c>
      <c r="H1" s="1" t="s">
        <v>1348</v>
      </c>
      <c r="I1" s="1" t="s">
        <v>106</v>
      </c>
      <c r="J1" s="1" t="s">
        <v>1349</v>
      </c>
      <c r="K1" s="1" t="s">
        <v>250</v>
      </c>
      <c r="L1" s="1" t="s">
        <v>1350</v>
      </c>
      <c r="M1" s="1" t="s">
        <v>1351</v>
      </c>
      <c r="N1" s="1" t="s">
        <v>1352</v>
      </c>
      <c r="O1" s="1" t="s">
        <v>1353</v>
      </c>
      <c r="P1" s="1" t="s">
        <v>1354</v>
      </c>
      <c r="Q1" s="1" t="s">
        <v>1355</v>
      </c>
      <c r="R1" s="1" t="s">
        <v>1356</v>
      </c>
      <c r="S1" s="1" t="s">
        <v>1357</v>
      </c>
      <c r="T1" s="1" t="s">
        <v>1358</v>
      </c>
      <c r="U1" s="1" t="s">
        <v>1359</v>
      </c>
      <c r="V1" s="1" t="s">
        <v>1360</v>
      </c>
      <c r="W1" s="1" t="s">
        <v>1361</v>
      </c>
      <c r="X1" s="1" t="s">
        <v>1362</v>
      </c>
    </row>
    <row r="2" spans="1:24" x14ac:dyDescent="0.45">
      <c r="A2" s="2" t="s">
        <v>122</v>
      </c>
      <c r="B2" s="2" t="s">
        <v>123</v>
      </c>
      <c r="C2" s="2">
        <v>0</v>
      </c>
      <c r="D2" s="2" t="s">
        <v>125</v>
      </c>
      <c r="E2" s="2">
        <v>6</v>
      </c>
      <c r="F2" s="2" t="s">
        <v>126</v>
      </c>
      <c r="G2" s="2">
        <v>0</v>
      </c>
      <c r="H2" s="2">
        <v>2</v>
      </c>
      <c r="I2" s="2" t="s">
        <v>127</v>
      </c>
      <c r="J2" s="2">
        <v>0</v>
      </c>
      <c r="K2" s="2">
        <f t="shared" ref="K2:K33" si="0">IF(J2="","",J2*1000)</f>
        <v>0</v>
      </c>
      <c r="L2" s="2">
        <v>0</v>
      </c>
      <c r="M2" s="2">
        <f t="shared" ref="M2:M33" si="1">IF(L2="","",L2*1000)</f>
        <v>0</v>
      </c>
      <c r="N2" s="2" t="s">
        <v>1363</v>
      </c>
      <c r="O2" s="2" t="s">
        <v>154</v>
      </c>
      <c r="P2" s="2" t="s">
        <v>154</v>
      </c>
      <c r="Q2" s="2" t="s">
        <v>154</v>
      </c>
      <c r="R2" s="2">
        <v>70</v>
      </c>
      <c r="S2" s="2">
        <v>40</v>
      </c>
      <c r="T2" s="2" t="s">
        <v>1364</v>
      </c>
      <c r="U2" s="2" t="s">
        <v>1365</v>
      </c>
      <c r="V2" s="2">
        <v>1E-4</v>
      </c>
      <c r="W2" s="2">
        <v>6</v>
      </c>
      <c r="X2" s="2">
        <v>0</v>
      </c>
    </row>
    <row r="3" spans="1:24" x14ac:dyDescent="0.45">
      <c r="A3" s="2" t="s">
        <v>122</v>
      </c>
      <c r="B3" s="2" t="s">
        <v>131</v>
      </c>
      <c r="C3" s="2">
        <v>0</v>
      </c>
      <c r="D3" s="2" t="s">
        <v>125</v>
      </c>
      <c r="E3" s="2">
        <v>6</v>
      </c>
      <c r="F3" s="2" t="s">
        <v>126</v>
      </c>
      <c r="G3" s="2">
        <v>0</v>
      </c>
      <c r="H3" s="2">
        <v>2</v>
      </c>
      <c r="I3" s="2" t="s">
        <v>127</v>
      </c>
      <c r="J3" s="2">
        <v>0</v>
      </c>
      <c r="K3" s="2">
        <f t="shared" si="0"/>
        <v>0</v>
      </c>
      <c r="L3" s="2">
        <v>0</v>
      </c>
      <c r="M3" s="2">
        <f t="shared" si="1"/>
        <v>0</v>
      </c>
      <c r="N3" s="2" t="s">
        <v>1363</v>
      </c>
      <c r="O3" s="2" t="s">
        <v>154</v>
      </c>
      <c r="P3" s="2" t="s">
        <v>154</v>
      </c>
      <c r="Q3" s="2" t="s">
        <v>154</v>
      </c>
      <c r="R3" s="2">
        <v>70</v>
      </c>
      <c r="S3" s="2">
        <v>40</v>
      </c>
      <c r="T3" s="2" t="s">
        <v>1364</v>
      </c>
      <c r="U3" s="2" t="s">
        <v>1365</v>
      </c>
      <c r="V3" s="2">
        <v>1E-4</v>
      </c>
      <c r="W3" s="2">
        <v>6</v>
      </c>
      <c r="X3" s="2">
        <v>0</v>
      </c>
    </row>
    <row r="4" spans="1:24" x14ac:dyDescent="0.45">
      <c r="A4" s="2" t="s">
        <v>122</v>
      </c>
      <c r="B4" s="2" t="s">
        <v>132</v>
      </c>
      <c r="C4" s="2">
        <v>0.3</v>
      </c>
      <c r="D4" s="2" t="s">
        <v>125</v>
      </c>
      <c r="E4" s="2">
        <v>6</v>
      </c>
      <c r="F4" s="2" t="s">
        <v>126</v>
      </c>
      <c r="G4" s="2">
        <v>0</v>
      </c>
      <c r="H4" s="2">
        <v>2</v>
      </c>
      <c r="I4" s="2" t="s">
        <v>127</v>
      </c>
      <c r="J4" s="2">
        <v>7.0000000000000001E-3</v>
      </c>
      <c r="K4" s="2">
        <f t="shared" si="0"/>
        <v>7</v>
      </c>
      <c r="L4" s="2">
        <v>1.76911E-3</v>
      </c>
      <c r="M4" s="2">
        <f t="shared" si="1"/>
        <v>1.76911</v>
      </c>
      <c r="N4" s="2" t="s">
        <v>1363</v>
      </c>
      <c r="O4" s="2" t="s">
        <v>1366</v>
      </c>
      <c r="P4" s="2" t="s">
        <v>1367</v>
      </c>
      <c r="Q4" s="2" t="s">
        <v>1368</v>
      </c>
      <c r="R4" s="2">
        <v>70</v>
      </c>
      <c r="S4" s="2">
        <v>40</v>
      </c>
      <c r="T4" s="2" t="s">
        <v>1364</v>
      </c>
      <c r="U4" s="2" t="s">
        <v>1365</v>
      </c>
      <c r="V4" s="2">
        <v>1E-4</v>
      </c>
      <c r="W4" s="2">
        <v>6</v>
      </c>
      <c r="X4" s="2">
        <v>0</v>
      </c>
    </row>
    <row r="5" spans="1:24" x14ac:dyDescent="0.45">
      <c r="A5" s="2" t="s">
        <v>122</v>
      </c>
      <c r="B5" s="2" t="s">
        <v>136</v>
      </c>
      <c r="C5" s="2">
        <v>0</v>
      </c>
      <c r="D5" s="2" t="s">
        <v>125</v>
      </c>
      <c r="E5" s="2">
        <v>6</v>
      </c>
      <c r="F5" s="2" t="s">
        <v>126</v>
      </c>
      <c r="G5" s="2">
        <v>0</v>
      </c>
      <c r="H5" s="2">
        <v>2</v>
      </c>
      <c r="I5" s="2" t="s">
        <v>127</v>
      </c>
      <c r="J5" s="2">
        <v>0</v>
      </c>
      <c r="K5" s="2">
        <f t="shared" si="0"/>
        <v>0</v>
      </c>
      <c r="L5" s="2">
        <v>0</v>
      </c>
      <c r="M5" s="2">
        <f t="shared" si="1"/>
        <v>0</v>
      </c>
      <c r="N5" s="2" t="s">
        <v>1363</v>
      </c>
      <c r="O5" s="2" t="s">
        <v>1366</v>
      </c>
      <c r="P5" s="2" t="s">
        <v>1367</v>
      </c>
      <c r="Q5" s="2" t="s">
        <v>1368</v>
      </c>
      <c r="R5" s="2">
        <v>70</v>
      </c>
      <c r="S5" s="2">
        <v>40</v>
      </c>
      <c r="T5" s="2" t="s">
        <v>1364</v>
      </c>
      <c r="U5" s="2" t="s">
        <v>1365</v>
      </c>
      <c r="V5" s="2">
        <v>1E-4</v>
      </c>
      <c r="W5" s="2">
        <v>6</v>
      </c>
      <c r="X5" s="2">
        <v>0</v>
      </c>
    </row>
    <row r="6" spans="1:24" x14ac:dyDescent="0.45">
      <c r="A6" s="2" t="s">
        <v>122</v>
      </c>
      <c r="B6" s="2" t="s">
        <v>138</v>
      </c>
      <c r="C6" s="2">
        <v>0</v>
      </c>
      <c r="D6" s="2" t="s">
        <v>125</v>
      </c>
      <c r="E6" s="2">
        <v>6</v>
      </c>
      <c r="F6" s="2" t="s">
        <v>126</v>
      </c>
      <c r="G6" s="2">
        <v>0</v>
      </c>
      <c r="H6" s="2">
        <v>2</v>
      </c>
      <c r="I6" s="2" t="s">
        <v>127</v>
      </c>
      <c r="J6" s="2">
        <v>0</v>
      </c>
      <c r="K6" s="2">
        <f t="shared" si="0"/>
        <v>0</v>
      </c>
      <c r="L6" s="2">
        <v>0</v>
      </c>
      <c r="M6" s="2">
        <f t="shared" si="1"/>
        <v>0</v>
      </c>
      <c r="N6" s="2" t="s">
        <v>1363</v>
      </c>
      <c r="O6" s="2" t="s">
        <v>154</v>
      </c>
      <c r="P6" s="2" t="s">
        <v>154</v>
      </c>
      <c r="Q6" s="2" t="s">
        <v>154</v>
      </c>
      <c r="R6" s="2">
        <v>70</v>
      </c>
      <c r="S6" s="2">
        <v>40</v>
      </c>
      <c r="T6" s="2" t="s">
        <v>1364</v>
      </c>
      <c r="U6" s="2" t="s">
        <v>1365</v>
      </c>
      <c r="V6" s="2">
        <v>1E-4</v>
      </c>
      <c r="W6" s="2">
        <v>8</v>
      </c>
      <c r="X6" s="2">
        <v>0</v>
      </c>
    </row>
    <row r="7" spans="1:24" x14ac:dyDescent="0.45">
      <c r="A7" s="2" t="s">
        <v>122</v>
      </c>
      <c r="B7" s="2" t="s">
        <v>139</v>
      </c>
      <c r="C7" s="2">
        <v>0</v>
      </c>
      <c r="D7" s="2" t="s">
        <v>125</v>
      </c>
      <c r="E7" s="2">
        <v>6</v>
      </c>
      <c r="F7" s="2" t="s">
        <v>126</v>
      </c>
      <c r="G7" s="2">
        <v>0</v>
      </c>
      <c r="H7" s="2">
        <v>2</v>
      </c>
      <c r="I7" s="2" t="s">
        <v>127</v>
      </c>
      <c r="J7" s="2">
        <v>0</v>
      </c>
      <c r="K7" s="2">
        <f t="shared" si="0"/>
        <v>0</v>
      </c>
      <c r="L7" s="2">
        <v>0</v>
      </c>
      <c r="M7" s="2">
        <f t="shared" si="1"/>
        <v>0</v>
      </c>
      <c r="N7" s="2" t="s">
        <v>1363</v>
      </c>
      <c r="O7" s="2" t="s">
        <v>154</v>
      </c>
      <c r="P7" s="2" t="s">
        <v>154</v>
      </c>
      <c r="Q7" s="2" t="s">
        <v>154</v>
      </c>
      <c r="R7" s="2">
        <v>70</v>
      </c>
      <c r="S7" s="2">
        <v>40</v>
      </c>
      <c r="T7" s="2" t="s">
        <v>1364</v>
      </c>
      <c r="U7" s="2" t="s">
        <v>1365</v>
      </c>
      <c r="V7" s="2">
        <v>1E-4</v>
      </c>
      <c r="W7" s="2">
        <v>6</v>
      </c>
      <c r="X7" s="2">
        <v>0</v>
      </c>
    </row>
    <row r="8" spans="1:24" x14ac:dyDescent="0.45">
      <c r="A8" s="2" t="s">
        <v>122</v>
      </c>
      <c r="B8" s="2" t="s">
        <v>140</v>
      </c>
      <c r="C8" s="2">
        <v>0.3</v>
      </c>
      <c r="D8" s="2" t="s">
        <v>125</v>
      </c>
      <c r="E8" s="2">
        <v>6</v>
      </c>
      <c r="F8" s="2" t="s">
        <v>126</v>
      </c>
      <c r="G8" s="2">
        <v>0</v>
      </c>
      <c r="H8" s="2">
        <v>2</v>
      </c>
      <c r="I8" s="2" t="s">
        <v>127</v>
      </c>
      <c r="J8" s="2">
        <v>7.0000000000000001E-3</v>
      </c>
      <c r="K8" s="2">
        <f t="shared" si="0"/>
        <v>7</v>
      </c>
      <c r="L8" s="2">
        <v>1.6629800000000001E-3</v>
      </c>
      <c r="M8" s="2">
        <f t="shared" si="1"/>
        <v>1.6629800000000001</v>
      </c>
      <c r="N8" s="2" t="s">
        <v>1363</v>
      </c>
      <c r="O8" s="2" t="s">
        <v>1366</v>
      </c>
      <c r="P8" s="2" t="s">
        <v>1367</v>
      </c>
      <c r="Q8" s="2" t="s">
        <v>1368</v>
      </c>
      <c r="R8" s="2">
        <v>70</v>
      </c>
      <c r="S8" s="2">
        <v>40</v>
      </c>
      <c r="T8" s="2" t="s">
        <v>1364</v>
      </c>
      <c r="U8" s="2" t="s">
        <v>1365</v>
      </c>
      <c r="V8" s="2">
        <v>1E-4</v>
      </c>
      <c r="W8" s="2">
        <v>6</v>
      </c>
      <c r="X8" s="2">
        <v>0</v>
      </c>
    </row>
    <row r="9" spans="1:24" x14ac:dyDescent="0.45">
      <c r="A9" s="2" t="s">
        <v>122</v>
      </c>
      <c r="B9" s="2" t="s">
        <v>141</v>
      </c>
      <c r="C9" s="2">
        <v>0.3</v>
      </c>
      <c r="D9" s="2" t="s">
        <v>125</v>
      </c>
      <c r="E9" s="2">
        <v>6</v>
      </c>
      <c r="F9" s="2" t="s">
        <v>126</v>
      </c>
      <c r="G9" s="2">
        <v>0</v>
      </c>
      <c r="H9" s="2">
        <v>2</v>
      </c>
      <c r="I9" s="2" t="s">
        <v>127</v>
      </c>
      <c r="J9" s="2">
        <v>7.0000000000000001E-3</v>
      </c>
      <c r="K9" s="2">
        <f t="shared" si="0"/>
        <v>7</v>
      </c>
      <c r="L9" s="2">
        <v>1.48361E-3</v>
      </c>
      <c r="M9" s="2">
        <f t="shared" si="1"/>
        <v>1.4836100000000001</v>
      </c>
      <c r="N9" s="2" t="s">
        <v>1363</v>
      </c>
      <c r="O9" s="2" t="s">
        <v>1366</v>
      </c>
      <c r="P9" s="2" t="s">
        <v>1367</v>
      </c>
      <c r="Q9" s="2" t="s">
        <v>1368</v>
      </c>
      <c r="R9" s="2">
        <v>70</v>
      </c>
      <c r="S9" s="2">
        <v>40</v>
      </c>
      <c r="T9" s="2" t="s">
        <v>1364</v>
      </c>
      <c r="U9" s="2" t="s">
        <v>1365</v>
      </c>
      <c r="V9" s="2">
        <v>1E-4</v>
      </c>
      <c r="W9" s="2">
        <v>6</v>
      </c>
      <c r="X9" s="2">
        <v>0</v>
      </c>
    </row>
    <row r="10" spans="1:24" x14ac:dyDescent="0.45">
      <c r="A10" s="2" t="s">
        <v>122</v>
      </c>
      <c r="B10" s="2" t="s">
        <v>142</v>
      </c>
      <c r="C10" s="2">
        <v>0.3</v>
      </c>
      <c r="D10" s="2" t="s">
        <v>125</v>
      </c>
      <c r="E10" s="2">
        <v>6</v>
      </c>
      <c r="F10" s="2" t="s">
        <v>126</v>
      </c>
      <c r="G10" s="2">
        <v>0</v>
      </c>
      <c r="H10" s="2">
        <v>2</v>
      </c>
      <c r="I10" s="2" t="s">
        <v>127</v>
      </c>
      <c r="J10" s="2">
        <v>7.0000000000000001E-3</v>
      </c>
      <c r="K10" s="2">
        <f t="shared" si="0"/>
        <v>7</v>
      </c>
      <c r="L10" s="2">
        <v>1.8600400000000001E-3</v>
      </c>
      <c r="M10" s="2">
        <f t="shared" si="1"/>
        <v>1.8600400000000001</v>
      </c>
      <c r="N10" s="2" t="s">
        <v>1363</v>
      </c>
      <c r="O10" s="2" t="s">
        <v>1366</v>
      </c>
      <c r="P10" s="2" t="s">
        <v>1367</v>
      </c>
      <c r="Q10" s="2" t="s">
        <v>1368</v>
      </c>
      <c r="R10" s="2">
        <v>70</v>
      </c>
      <c r="S10" s="2">
        <v>40</v>
      </c>
      <c r="T10" s="2" t="s">
        <v>1364</v>
      </c>
      <c r="U10" s="2" t="s">
        <v>1365</v>
      </c>
      <c r="V10" s="2">
        <v>1E-4</v>
      </c>
      <c r="W10" s="2">
        <v>8</v>
      </c>
      <c r="X10" s="2">
        <v>0</v>
      </c>
    </row>
    <row r="11" spans="1:24" x14ac:dyDescent="0.45">
      <c r="A11" s="2" t="s">
        <v>122</v>
      </c>
      <c r="B11" s="2" t="s">
        <v>143</v>
      </c>
      <c r="C11" s="2">
        <v>0.3</v>
      </c>
      <c r="D11" s="2" t="s">
        <v>125</v>
      </c>
      <c r="E11" s="2">
        <v>6</v>
      </c>
      <c r="F11" s="2" t="s">
        <v>126</v>
      </c>
      <c r="G11" s="2">
        <v>0</v>
      </c>
      <c r="H11" s="2">
        <v>2</v>
      </c>
      <c r="I11" s="2" t="s">
        <v>127</v>
      </c>
      <c r="J11" s="2">
        <v>7.0000000000000001E-3</v>
      </c>
      <c r="K11" s="2">
        <f t="shared" si="0"/>
        <v>7</v>
      </c>
      <c r="L11" s="2">
        <v>1.8058600000000001E-3</v>
      </c>
      <c r="M11" s="2">
        <f t="shared" si="1"/>
        <v>1.80586</v>
      </c>
      <c r="N11" s="2" t="s">
        <v>1363</v>
      </c>
      <c r="O11" s="2" t="s">
        <v>1366</v>
      </c>
      <c r="P11" s="2" t="s">
        <v>1367</v>
      </c>
      <c r="Q11" s="2" t="s">
        <v>1368</v>
      </c>
      <c r="R11" s="2">
        <v>70</v>
      </c>
      <c r="S11" s="2">
        <v>40</v>
      </c>
      <c r="T11" s="2" t="s">
        <v>1364</v>
      </c>
      <c r="U11" s="2" t="s">
        <v>1365</v>
      </c>
      <c r="V11" s="2">
        <v>1E-4</v>
      </c>
      <c r="W11" s="2">
        <v>9</v>
      </c>
      <c r="X11" s="2">
        <v>0</v>
      </c>
    </row>
    <row r="12" spans="1:24" x14ac:dyDescent="0.45">
      <c r="A12" s="2" t="s">
        <v>122</v>
      </c>
      <c r="B12" s="2" t="s">
        <v>144</v>
      </c>
      <c r="C12" s="2">
        <v>0.3</v>
      </c>
      <c r="D12" s="2" t="s">
        <v>125</v>
      </c>
      <c r="E12" s="2">
        <v>6</v>
      </c>
      <c r="F12" s="2" t="s">
        <v>126</v>
      </c>
      <c r="G12" s="2">
        <v>0</v>
      </c>
      <c r="H12" s="2">
        <v>2</v>
      </c>
      <c r="I12" s="2" t="s">
        <v>127</v>
      </c>
      <c r="J12" s="2">
        <v>7.0000000000000001E-3</v>
      </c>
      <c r="K12" s="2">
        <f t="shared" si="0"/>
        <v>7</v>
      </c>
      <c r="L12" s="2">
        <v>1.7792400000000001E-3</v>
      </c>
      <c r="M12" s="2">
        <f t="shared" si="1"/>
        <v>1.7792400000000002</v>
      </c>
      <c r="N12" s="2" t="s">
        <v>1363</v>
      </c>
      <c r="O12" s="2" t="s">
        <v>1366</v>
      </c>
      <c r="P12" s="2" t="s">
        <v>1367</v>
      </c>
      <c r="Q12" s="2" t="s">
        <v>1368</v>
      </c>
      <c r="R12" s="2">
        <v>70</v>
      </c>
      <c r="S12" s="2">
        <v>40</v>
      </c>
      <c r="T12" s="2" t="s">
        <v>1364</v>
      </c>
      <c r="U12" s="2" t="s">
        <v>1365</v>
      </c>
      <c r="V12" s="2">
        <v>1E-4</v>
      </c>
      <c r="W12" s="2">
        <v>6</v>
      </c>
      <c r="X12" s="2">
        <v>0</v>
      </c>
    </row>
    <row r="13" spans="1:24" x14ac:dyDescent="0.45">
      <c r="A13" s="2" t="s">
        <v>122</v>
      </c>
      <c r="B13" s="2" t="s">
        <v>145</v>
      </c>
      <c r="C13" s="2">
        <v>0.3</v>
      </c>
      <c r="D13" s="2" t="s">
        <v>125</v>
      </c>
      <c r="E13" s="2">
        <v>6</v>
      </c>
      <c r="F13" s="2" t="s">
        <v>126</v>
      </c>
      <c r="G13" s="2">
        <v>0</v>
      </c>
      <c r="H13" s="2">
        <v>2</v>
      </c>
      <c r="I13" s="2" t="s">
        <v>127</v>
      </c>
      <c r="J13" s="2">
        <v>7.0000000000000001E-3</v>
      </c>
      <c r="K13" s="2">
        <f t="shared" si="0"/>
        <v>7</v>
      </c>
      <c r="L13" s="2">
        <v>1.7518200000000001E-3</v>
      </c>
      <c r="M13" s="2">
        <f t="shared" si="1"/>
        <v>1.7518200000000002</v>
      </c>
      <c r="N13" s="2" t="s">
        <v>1363</v>
      </c>
      <c r="O13" s="2" t="s">
        <v>1366</v>
      </c>
      <c r="P13" s="2" t="s">
        <v>1367</v>
      </c>
      <c r="Q13" s="2" t="s">
        <v>1368</v>
      </c>
      <c r="R13" s="2">
        <v>70</v>
      </c>
      <c r="S13" s="2">
        <v>40</v>
      </c>
      <c r="T13" s="2" t="s">
        <v>1364</v>
      </c>
      <c r="U13" s="2" t="s">
        <v>1365</v>
      </c>
      <c r="V13" s="2">
        <v>1E-4</v>
      </c>
      <c r="W13" s="2">
        <v>6</v>
      </c>
      <c r="X13" s="2">
        <v>0</v>
      </c>
    </row>
    <row r="14" spans="1:24" x14ac:dyDescent="0.45">
      <c r="A14" s="2" t="s">
        <v>122</v>
      </c>
      <c r="B14" s="2" t="s">
        <v>146</v>
      </c>
      <c r="C14" s="2">
        <v>0</v>
      </c>
      <c r="D14" s="2" t="s">
        <v>125</v>
      </c>
      <c r="E14" s="2">
        <v>0</v>
      </c>
      <c r="F14" s="2" t="s">
        <v>148</v>
      </c>
      <c r="G14" s="2">
        <v>0</v>
      </c>
      <c r="H14" s="2">
        <v>0</v>
      </c>
      <c r="I14" s="2" t="s">
        <v>149</v>
      </c>
      <c r="J14" s="2">
        <v>0</v>
      </c>
      <c r="K14" s="2">
        <f t="shared" si="0"/>
        <v>0</v>
      </c>
      <c r="L14" s="2">
        <v>0</v>
      </c>
      <c r="M14" s="2">
        <f t="shared" si="1"/>
        <v>0</v>
      </c>
      <c r="N14" s="2" t="s">
        <v>1363</v>
      </c>
      <c r="O14" s="2" t="s">
        <v>154</v>
      </c>
      <c r="P14" s="2" t="s">
        <v>154</v>
      </c>
      <c r="Q14" s="2" t="s">
        <v>154</v>
      </c>
      <c r="R14" s="2">
        <v>100</v>
      </c>
      <c r="S14" s="2">
        <v>0</v>
      </c>
      <c r="T14" s="2" t="s">
        <v>1364</v>
      </c>
      <c r="U14" s="2" t="s">
        <v>1365</v>
      </c>
      <c r="V14" s="2">
        <v>1E-4</v>
      </c>
      <c r="W14" s="2">
        <v>55</v>
      </c>
      <c r="X14" s="2">
        <v>0</v>
      </c>
    </row>
    <row r="15" spans="1:24" x14ac:dyDescent="0.45">
      <c r="A15" s="2" t="s">
        <v>122</v>
      </c>
      <c r="B15" s="2" t="s">
        <v>150</v>
      </c>
      <c r="C15" s="2">
        <v>0</v>
      </c>
      <c r="D15" s="2" t="s">
        <v>125</v>
      </c>
      <c r="E15" s="2">
        <v>6</v>
      </c>
      <c r="F15" s="2" t="s">
        <v>126</v>
      </c>
      <c r="G15" s="2">
        <v>0</v>
      </c>
      <c r="H15" s="2">
        <v>2</v>
      </c>
      <c r="I15" s="2" t="s">
        <v>127</v>
      </c>
      <c r="J15" s="2">
        <v>0</v>
      </c>
      <c r="K15" s="2">
        <f t="shared" si="0"/>
        <v>0</v>
      </c>
      <c r="L15" s="2">
        <v>0</v>
      </c>
      <c r="M15" s="2">
        <f t="shared" si="1"/>
        <v>0</v>
      </c>
      <c r="N15" s="2" t="s">
        <v>1363</v>
      </c>
      <c r="O15" s="2" t="s">
        <v>154</v>
      </c>
      <c r="P15" s="2" t="s">
        <v>154</v>
      </c>
      <c r="Q15" s="2" t="s">
        <v>154</v>
      </c>
      <c r="R15" s="2">
        <v>70</v>
      </c>
      <c r="S15" s="2">
        <v>40</v>
      </c>
      <c r="T15" s="2" t="s">
        <v>1364</v>
      </c>
      <c r="U15" s="2" t="s">
        <v>1365</v>
      </c>
      <c r="V15" s="2">
        <v>1E-4</v>
      </c>
      <c r="W15" s="2">
        <v>18</v>
      </c>
      <c r="X15" s="2">
        <v>0</v>
      </c>
    </row>
    <row r="16" spans="1:24" x14ac:dyDescent="0.45">
      <c r="A16" s="2" t="s">
        <v>122</v>
      </c>
      <c r="B16" s="2" t="s">
        <v>151</v>
      </c>
      <c r="C16" s="2">
        <v>0</v>
      </c>
      <c r="D16" s="2" t="s">
        <v>125</v>
      </c>
      <c r="E16" s="2">
        <v>6</v>
      </c>
      <c r="F16" s="2" t="s">
        <v>126</v>
      </c>
      <c r="G16" s="2">
        <v>0</v>
      </c>
      <c r="H16" s="2">
        <v>2</v>
      </c>
      <c r="I16" s="2" t="s">
        <v>127</v>
      </c>
      <c r="J16" s="2">
        <v>0</v>
      </c>
      <c r="K16" s="2">
        <f t="shared" si="0"/>
        <v>0</v>
      </c>
      <c r="L16" s="2">
        <v>8.0000000000000002E-3</v>
      </c>
      <c r="M16" s="2">
        <f t="shared" si="1"/>
        <v>8</v>
      </c>
      <c r="N16" s="2" t="s">
        <v>1363</v>
      </c>
      <c r="O16" s="2" t="s">
        <v>1366</v>
      </c>
      <c r="P16" s="2" t="s">
        <v>1367</v>
      </c>
      <c r="Q16" s="2" t="s">
        <v>1368</v>
      </c>
      <c r="R16" s="2">
        <v>70</v>
      </c>
      <c r="S16" s="2">
        <v>40</v>
      </c>
      <c r="T16" s="2" t="s">
        <v>1364</v>
      </c>
      <c r="U16" s="2" t="s">
        <v>1365</v>
      </c>
      <c r="V16" s="2">
        <v>1E-4</v>
      </c>
      <c r="W16" s="2">
        <v>52</v>
      </c>
      <c r="X16" s="2">
        <v>0</v>
      </c>
    </row>
    <row r="17" spans="1:24" x14ac:dyDescent="0.45">
      <c r="A17" s="2" t="s">
        <v>122</v>
      </c>
      <c r="B17" s="2" t="s">
        <v>153</v>
      </c>
      <c r="C17" s="2">
        <v>0</v>
      </c>
      <c r="D17" s="2" t="s">
        <v>125</v>
      </c>
      <c r="E17" s="2">
        <v>6</v>
      </c>
      <c r="F17" s="2" t="s">
        <v>154</v>
      </c>
      <c r="G17" s="2">
        <v>0</v>
      </c>
      <c r="H17" s="2">
        <v>0</v>
      </c>
      <c r="I17" s="2" t="s">
        <v>154</v>
      </c>
      <c r="J17" s="2">
        <v>0</v>
      </c>
      <c r="K17" s="2">
        <f t="shared" si="0"/>
        <v>0</v>
      </c>
      <c r="L17" s="2">
        <v>1E-3</v>
      </c>
      <c r="M17" s="2">
        <f t="shared" si="1"/>
        <v>1</v>
      </c>
      <c r="N17" s="2" t="s">
        <v>1363</v>
      </c>
      <c r="O17" s="2" t="s">
        <v>154</v>
      </c>
      <c r="P17" s="2" t="s">
        <v>154</v>
      </c>
      <c r="Q17" s="2" t="s">
        <v>154</v>
      </c>
      <c r="R17" s="2">
        <v>70</v>
      </c>
      <c r="S17" s="2">
        <v>40</v>
      </c>
      <c r="T17" s="2" t="s">
        <v>1364</v>
      </c>
      <c r="U17" s="2" t="s">
        <v>1365</v>
      </c>
      <c r="V17" s="2">
        <v>1E-4</v>
      </c>
      <c r="W17" s="2">
        <v>6</v>
      </c>
      <c r="X17" s="2">
        <v>0</v>
      </c>
    </row>
    <row r="18" spans="1:24" x14ac:dyDescent="0.45">
      <c r="A18" s="2" t="s">
        <v>122</v>
      </c>
      <c r="B18" s="2" t="s">
        <v>155</v>
      </c>
      <c r="C18" s="2">
        <v>0</v>
      </c>
      <c r="D18" s="2" t="s">
        <v>125</v>
      </c>
      <c r="E18" s="2">
        <v>6</v>
      </c>
      <c r="F18" s="2" t="s">
        <v>154</v>
      </c>
      <c r="G18" s="2">
        <v>0</v>
      </c>
      <c r="H18" s="2">
        <v>0</v>
      </c>
      <c r="I18" s="2" t="s">
        <v>154</v>
      </c>
      <c r="J18" s="2">
        <v>0</v>
      </c>
      <c r="K18" s="2">
        <f t="shared" si="0"/>
        <v>0</v>
      </c>
      <c r="L18" s="2">
        <v>1E-3</v>
      </c>
      <c r="M18" s="2">
        <f t="shared" si="1"/>
        <v>1</v>
      </c>
      <c r="N18" s="2" t="s">
        <v>1363</v>
      </c>
      <c r="O18" s="2" t="s">
        <v>154</v>
      </c>
      <c r="P18" s="2" t="s">
        <v>154</v>
      </c>
      <c r="Q18" s="2" t="s">
        <v>154</v>
      </c>
      <c r="R18" s="2">
        <v>70</v>
      </c>
      <c r="S18" s="2">
        <v>40</v>
      </c>
      <c r="T18" s="2" t="s">
        <v>1364</v>
      </c>
      <c r="U18" s="2" t="s">
        <v>1365</v>
      </c>
      <c r="V18" s="2">
        <v>1E-4</v>
      </c>
      <c r="W18" s="2">
        <v>187</v>
      </c>
      <c r="X18" s="2">
        <v>2</v>
      </c>
    </row>
    <row r="19" spans="1:24" x14ac:dyDescent="0.45">
      <c r="A19" s="2" t="s">
        <v>122</v>
      </c>
      <c r="B19" s="2" t="s">
        <v>156</v>
      </c>
      <c r="C19" s="2">
        <v>0</v>
      </c>
      <c r="D19" s="2" t="s">
        <v>125</v>
      </c>
      <c r="E19" s="2">
        <v>6</v>
      </c>
      <c r="F19" s="2" t="s">
        <v>126</v>
      </c>
      <c r="G19" s="2">
        <v>0</v>
      </c>
      <c r="H19" s="2">
        <v>2</v>
      </c>
      <c r="I19" s="2" t="s">
        <v>127</v>
      </c>
      <c r="J19" s="2">
        <v>0</v>
      </c>
      <c r="K19" s="2">
        <f t="shared" si="0"/>
        <v>0</v>
      </c>
      <c r="L19" s="2">
        <v>0</v>
      </c>
      <c r="M19" s="2">
        <f t="shared" si="1"/>
        <v>0</v>
      </c>
      <c r="N19" s="2" t="s">
        <v>1363</v>
      </c>
      <c r="O19" s="2" t="s">
        <v>1366</v>
      </c>
      <c r="P19" s="2" t="s">
        <v>1367</v>
      </c>
      <c r="Q19" s="2" t="s">
        <v>1368</v>
      </c>
      <c r="R19" s="2">
        <v>70</v>
      </c>
      <c r="S19" s="2">
        <v>40</v>
      </c>
      <c r="T19" s="2" t="s">
        <v>1364</v>
      </c>
      <c r="U19" s="2" t="s">
        <v>1365</v>
      </c>
      <c r="V19" s="2">
        <v>1E-4</v>
      </c>
      <c r="W19" s="2">
        <v>17</v>
      </c>
      <c r="X19" s="2">
        <v>0</v>
      </c>
    </row>
    <row r="20" spans="1:24" x14ac:dyDescent="0.45">
      <c r="A20" s="2" t="s">
        <v>122</v>
      </c>
      <c r="B20" s="2" t="s">
        <v>157</v>
      </c>
      <c r="C20" s="2">
        <v>0</v>
      </c>
      <c r="D20" s="2" t="s">
        <v>125</v>
      </c>
      <c r="E20" s="2">
        <v>6</v>
      </c>
      <c r="F20" s="2" t="s">
        <v>154</v>
      </c>
      <c r="G20" s="2">
        <v>0</v>
      </c>
      <c r="H20" s="2">
        <v>0</v>
      </c>
      <c r="I20" s="2" t="s">
        <v>154</v>
      </c>
      <c r="J20" s="2">
        <v>0</v>
      </c>
      <c r="K20" s="2">
        <f t="shared" si="0"/>
        <v>0</v>
      </c>
      <c r="L20" s="2">
        <v>0</v>
      </c>
      <c r="M20" s="2">
        <f t="shared" si="1"/>
        <v>0</v>
      </c>
      <c r="N20" s="2" t="s">
        <v>1363</v>
      </c>
      <c r="O20" s="2" t="s">
        <v>1366</v>
      </c>
      <c r="P20" s="2" t="s">
        <v>1367</v>
      </c>
      <c r="Q20" s="2" t="s">
        <v>1368</v>
      </c>
      <c r="R20" s="2">
        <v>70</v>
      </c>
      <c r="S20" s="2">
        <v>40</v>
      </c>
      <c r="T20" s="2" t="s">
        <v>1364</v>
      </c>
      <c r="U20" s="2" t="s">
        <v>1365</v>
      </c>
      <c r="V20" s="2">
        <v>1E-4</v>
      </c>
      <c r="W20" s="2">
        <v>40</v>
      </c>
      <c r="X20" s="2">
        <v>0</v>
      </c>
    </row>
    <row r="21" spans="1:24" x14ac:dyDescent="0.45">
      <c r="A21" s="2" t="s">
        <v>122</v>
      </c>
      <c r="B21" s="2" t="s">
        <v>158</v>
      </c>
      <c r="C21" s="2">
        <v>0</v>
      </c>
      <c r="D21" s="2" t="s">
        <v>125</v>
      </c>
      <c r="E21" s="2">
        <v>6</v>
      </c>
      <c r="F21" s="2" t="s">
        <v>154</v>
      </c>
      <c r="G21" s="2">
        <v>0</v>
      </c>
      <c r="H21" s="2">
        <v>2</v>
      </c>
      <c r="I21" s="2" t="s">
        <v>154</v>
      </c>
      <c r="J21" s="2">
        <v>0</v>
      </c>
      <c r="K21" s="2">
        <f t="shared" si="0"/>
        <v>0</v>
      </c>
      <c r="L21" s="2">
        <v>0</v>
      </c>
      <c r="M21" s="2">
        <f t="shared" si="1"/>
        <v>0</v>
      </c>
      <c r="N21" s="2" t="s">
        <v>1363</v>
      </c>
      <c r="O21" s="2" t="s">
        <v>154</v>
      </c>
      <c r="P21" s="2" t="s">
        <v>154</v>
      </c>
      <c r="Q21" s="2" t="s">
        <v>154</v>
      </c>
      <c r="R21" s="2">
        <v>70</v>
      </c>
      <c r="S21" s="2">
        <v>40</v>
      </c>
      <c r="T21" s="2" t="s">
        <v>1364</v>
      </c>
      <c r="U21" s="2" t="s">
        <v>1365</v>
      </c>
      <c r="V21" s="2">
        <v>1E-4</v>
      </c>
      <c r="W21" s="2">
        <v>185</v>
      </c>
      <c r="X21" s="2">
        <v>10</v>
      </c>
    </row>
    <row r="22" spans="1:24" x14ac:dyDescent="0.45">
      <c r="A22" s="2" t="s">
        <v>122</v>
      </c>
      <c r="B22" s="2" t="s">
        <v>159</v>
      </c>
      <c r="C22" s="2">
        <v>0</v>
      </c>
      <c r="D22" s="2" t="s">
        <v>125</v>
      </c>
      <c r="E22" s="2">
        <v>6</v>
      </c>
      <c r="F22" s="2" t="s">
        <v>154</v>
      </c>
      <c r="G22" s="2">
        <v>0</v>
      </c>
      <c r="H22" s="2">
        <v>2</v>
      </c>
      <c r="I22" s="2" t="s">
        <v>154</v>
      </c>
      <c r="J22" s="2">
        <v>0</v>
      </c>
      <c r="K22" s="2">
        <f t="shared" si="0"/>
        <v>0</v>
      </c>
      <c r="L22" s="2">
        <v>0</v>
      </c>
      <c r="M22" s="2">
        <f t="shared" si="1"/>
        <v>0</v>
      </c>
      <c r="N22" s="2" t="s">
        <v>1363</v>
      </c>
      <c r="O22" s="2" t="s">
        <v>1366</v>
      </c>
      <c r="P22" s="2" t="s">
        <v>1367</v>
      </c>
      <c r="Q22" s="2" t="s">
        <v>1368</v>
      </c>
      <c r="R22" s="2">
        <v>70</v>
      </c>
      <c r="S22" s="2">
        <v>40</v>
      </c>
      <c r="T22" s="2" t="s">
        <v>1364</v>
      </c>
      <c r="U22" s="2" t="s">
        <v>1365</v>
      </c>
      <c r="V22" s="2">
        <v>1E-4</v>
      </c>
      <c r="W22" s="2">
        <v>40</v>
      </c>
      <c r="X22" s="2">
        <v>0</v>
      </c>
    </row>
    <row r="23" spans="1:24" x14ac:dyDescent="0.45">
      <c r="A23" s="2" t="s">
        <v>122</v>
      </c>
      <c r="B23" s="2" t="s">
        <v>160</v>
      </c>
      <c r="C23" s="2">
        <v>0.6</v>
      </c>
      <c r="D23" s="2" t="s">
        <v>125</v>
      </c>
      <c r="E23" s="2">
        <v>6</v>
      </c>
      <c r="F23" s="2" t="s">
        <v>126</v>
      </c>
      <c r="G23" s="2">
        <v>0</v>
      </c>
      <c r="H23" s="2">
        <v>2</v>
      </c>
      <c r="I23" s="2" t="s">
        <v>127</v>
      </c>
      <c r="J23" s="2">
        <v>7.0000000000000001E-3</v>
      </c>
      <c r="K23" s="2">
        <f t="shared" si="0"/>
        <v>7</v>
      </c>
      <c r="L23" s="2">
        <v>3.7383799999999999E-3</v>
      </c>
      <c r="M23" s="2">
        <f t="shared" si="1"/>
        <v>3.7383799999999998</v>
      </c>
      <c r="N23" s="2" t="s">
        <v>1363</v>
      </c>
      <c r="O23" s="2" t="s">
        <v>1366</v>
      </c>
      <c r="P23" s="2" t="s">
        <v>1367</v>
      </c>
      <c r="Q23" s="2" t="s">
        <v>1368</v>
      </c>
      <c r="R23" s="2">
        <v>70</v>
      </c>
      <c r="S23" s="2">
        <v>40</v>
      </c>
      <c r="T23" s="2" t="s">
        <v>1364</v>
      </c>
      <c r="U23" s="2" t="s">
        <v>1365</v>
      </c>
      <c r="V23" s="2">
        <v>1E-4</v>
      </c>
      <c r="W23" s="2">
        <v>10</v>
      </c>
      <c r="X23" s="2">
        <v>1</v>
      </c>
    </row>
    <row r="24" spans="1:24" x14ac:dyDescent="0.45">
      <c r="A24" s="2" t="s">
        <v>122</v>
      </c>
      <c r="B24" s="2" t="s">
        <v>162</v>
      </c>
      <c r="C24" s="2">
        <v>0</v>
      </c>
      <c r="D24" s="2" t="s">
        <v>125</v>
      </c>
      <c r="E24" s="2">
        <v>6</v>
      </c>
      <c r="F24" s="2" t="s">
        <v>154</v>
      </c>
      <c r="G24" s="2">
        <v>0</v>
      </c>
      <c r="H24" s="2">
        <v>0</v>
      </c>
      <c r="I24" s="2" t="s">
        <v>154</v>
      </c>
      <c r="J24" s="2">
        <v>0</v>
      </c>
      <c r="K24" s="2">
        <f t="shared" si="0"/>
        <v>0</v>
      </c>
      <c r="L24" s="2">
        <v>1E-3</v>
      </c>
      <c r="M24" s="2">
        <f t="shared" si="1"/>
        <v>1</v>
      </c>
      <c r="N24" s="2" t="s">
        <v>1363</v>
      </c>
      <c r="O24" s="2" t="s">
        <v>154</v>
      </c>
      <c r="P24" s="2" t="s">
        <v>154</v>
      </c>
      <c r="Q24" s="2" t="s">
        <v>154</v>
      </c>
      <c r="R24" s="2">
        <v>70</v>
      </c>
      <c r="S24" s="2">
        <v>40</v>
      </c>
      <c r="T24" s="2" t="s">
        <v>1364</v>
      </c>
      <c r="U24" s="2" t="s">
        <v>1365</v>
      </c>
      <c r="V24" s="2">
        <v>1E-4</v>
      </c>
      <c r="W24" s="2">
        <v>186</v>
      </c>
      <c r="X24" s="2">
        <v>8</v>
      </c>
    </row>
    <row r="25" spans="1:24" x14ac:dyDescent="0.45">
      <c r="A25" s="2" t="s">
        <v>122</v>
      </c>
      <c r="B25" s="2" t="s">
        <v>163</v>
      </c>
      <c r="C25" s="2">
        <v>0.12</v>
      </c>
      <c r="D25" s="2" t="s">
        <v>125</v>
      </c>
      <c r="E25" s="2">
        <v>7</v>
      </c>
      <c r="F25" s="2" t="s">
        <v>126</v>
      </c>
      <c r="G25" s="2">
        <v>0</v>
      </c>
      <c r="H25" s="2">
        <v>2</v>
      </c>
      <c r="I25" s="2" t="s">
        <v>127</v>
      </c>
      <c r="J25" s="2">
        <v>7.0000000000000001E-3</v>
      </c>
      <c r="K25" s="2">
        <f t="shared" si="0"/>
        <v>7</v>
      </c>
      <c r="L25" s="2">
        <v>6.8599000000000004E-4</v>
      </c>
      <c r="M25" s="2">
        <f t="shared" si="1"/>
        <v>0.68598999999999999</v>
      </c>
      <c r="N25" s="2" t="s">
        <v>1363</v>
      </c>
      <c r="O25" s="2" t="s">
        <v>1366</v>
      </c>
      <c r="P25" s="2" t="s">
        <v>1367</v>
      </c>
      <c r="Q25" s="2" t="s">
        <v>1368</v>
      </c>
      <c r="R25" s="2">
        <v>70</v>
      </c>
      <c r="S25" s="2">
        <v>40</v>
      </c>
      <c r="T25" s="2" t="s">
        <v>1364</v>
      </c>
      <c r="U25" s="2" t="s">
        <v>1365</v>
      </c>
      <c r="V25" s="2">
        <v>1E-4</v>
      </c>
      <c r="W25" s="2">
        <v>11</v>
      </c>
      <c r="X25" s="2">
        <v>1</v>
      </c>
    </row>
    <row r="26" spans="1:24" x14ac:dyDescent="0.45">
      <c r="A26" s="2" t="s">
        <v>122</v>
      </c>
      <c r="B26" s="2" t="s">
        <v>165</v>
      </c>
      <c r="C26" s="2">
        <v>0</v>
      </c>
      <c r="D26" s="2" t="s">
        <v>125</v>
      </c>
      <c r="E26" s="2">
        <v>6</v>
      </c>
      <c r="F26" s="2" t="s">
        <v>126</v>
      </c>
      <c r="G26" s="2">
        <v>0</v>
      </c>
      <c r="H26" s="2">
        <v>2</v>
      </c>
      <c r="I26" s="2" t="s">
        <v>127</v>
      </c>
      <c r="J26" s="2">
        <v>0</v>
      </c>
      <c r="K26" s="2">
        <f t="shared" si="0"/>
        <v>0</v>
      </c>
      <c r="L26" s="2">
        <v>0</v>
      </c>
      <c r="M26" s="2">
        <f t="shared" si="1"/>
        <v>0</v>
      </c>
      <c r="N26" s="2" t="s">
        <v>1363</v>
      </c>
      <c r="O26" s="2" t="s">
        <v>1366</v>
      </c>
      <c r="P26" s="2" t="s">
        <v>1367</v>
      </c>
      <c r="Q26" s="2" t="s">
        <v>1368</v>
      </c>
      <c r="R26" s="2">
        <v>70</v>
      </c>
      <c r="S26" s="2">
        <v>40</v>
      </c>
      <c r="T26" s="2" t="s">
        <v>1364</v>
      </c>
      <c r="U26" s="2" t="s">
        <v>1365</v>
      </c>
      <c r="V26" s="2">
        <v>1E-4</v>
      </c>
      <c r="W26" s="2">
        <v>21</v>
      </c>
      <c r="X26" s="2">
        <v>0</v>
      </c>
    </row>
    <row r="27" spans="1:24" x14ac:dyDescent="0.45">
      <c r="A27" s="2" t="s">
        <v>122</v>
      </c>
      <c r="B27" s="2" t="s">
        <v>166</v>
      </c>
      <c r="C27" s="2">
        <v>0</v>
      </c>
      <c r="D27" s="2" t="s">
        <v>125</v>
      </c>
      <c r="E27" s="2">
        <v>6</v>
      </c>
      <c r="F27" s="2" t="s">
        <v>154</v>
      </c>
      <c r="G27" s="2">
        <v>0</v>
      </c>
      <c r="H27" s="2">
        <v>0</v>
      </c>
      <c r="I27" s="2" t="s">
        <v>154</v>
      </c>
      <c r="J27" s="2">
        <v>0</v>
      </c>
      <c r="K27" s="2">
        <f t="shared" si="0"/>
        <v>0</v>
      </c>
      <c r="L27" s="2">
        <v>0</v>
      </c>
      <c r="M27" s="2">
        <f t="shared" si="1"/>
        <v>0</v>
      </c>
      <c r="N27" s="2" t="s">
        <v>1363</v>
      </c>
      <c r="O27" s="2" t="s">
        <v>154</v>
      </c>
      <c r="P27" s="2" t="s">
        <v>154</v>
      </c>
      <c r="Q27" s="2" t="s">
        <v>154</v>
      </c>
      <c r="R27" s="2">
        <v>70</v>
      </c>
      <c r="S27" s="2">
        <v>40</v>
      </c>
      <c r="T27" s="2" t="s">
        <v>1364</v>
      </c>
      <c r="U27" s="2" t="s">
        <v>1365</v>
      </c>
      <c r="V27" s="2">
        <v>1E-4</v>
      </c>
      <c r="W27" s="2">
        <v>10</v>
      </c>
      <c r="X27" s="2">
        <v>0</v>
      </c>
    </row>
    <row r="28" spans="1:24" x14ac:dyDescent="0.45">
      <c r="A28" s="2" t="s">
        <v>122</v>
      </c>
      <c r="B28" s="2" t="s">
        <v>167</v>
      </c>
      <c r="C28" s="2">
        <v>0</v>
      </c>
      <c r="D28" s="2" t="s">
        <v>125</v>
      </c>
      <c r="E28" s="2">
        <v>6</v>
      </c>
      <c r="F28" s="2" t="s">
        <v>126</v>
      </c>
      <c r="G28" s="2">
        <v>0</v>
      </c>
      <c r="H28" s="2">
        <v>2</v>
      </c>
      <c r="I28" s="2" t="s">
        <v>127</v>
      </c>
      <c r="J28" s="2">
        <v>0</v>
      </c>
      <c r="K28" s="2">
        <f t="shared" si="0"/>
        <v>0</v>
      </c>
      <c r="L28" s="2">
        <v>0</v>
      </c>
      <c r="M28" s="2">
        <f t="shared" si="1"/>
        <v>0</v>
      </c>
      <c r="N28" s="2" t="s">
        <v>1363</v>
      </c>
      <c r="O28" s="2" t="s">
        <v>1366</v>
      </c>
      <c r="P28" s="2" t="s">
        <v>1367</v>
      </c>
      <c r="Q28" s="2" t="s">
        <v>1368</v>
      </c>
      <c r="R28" s="2">
        <v>70</v>
      </c>
      <c r="S28" s="2">
        <v>40</v>
      </c>
      <c r="T28" s="2" t="s">
        <v>1364</v>
      </c>
      <c r="U28" s="2" t="s">
        <v>1365</v>
      </c>
      <c r="V28" s="2">
        <v>1E-4</v>
      </c>
      <c r="W28" s="2">
        <v>8</v>
      </c>
      <c r="X28" s="2">
        <v>0</v>
      </c>
    </row>
    <row r="29" spans="1:24" x14ac:dyDescent="0.45">
      <c r="A29" s="2" t="s">
        <v>122</v>
      </c>
      <c r="B29" s="2" t="s">
        <v>168</v>
      </c>
      <c r="C29" s="2">
        <v>0</v>
      </c>
      <c r="D29" s="2" t="s">
        <v>125</v>
      </c>
      <c r="E29" s="2">
        <v>6</v>
      </c>
      <c r="F29" s="2" t="s">
        <v>154</v>
      </c>
      <c r="G29" s="2">
        <v>0</v>
      </c>
      <c r="H29" s="2">
        <v>0</v>
      </c>
      <c r="I29" s="2" t="s">
        <v>154</v>
      </c>
      <c r="J29" s="2">
        <v>0</v>
      </c>
      <c r="K29" s="2">
        <f t="shared" si="0"/>
        <v>0</v>
      </c>
      <c r="L29" s="2">
        <v>0</v>
      </c>
      <c r="M29" s="2">
        <f t="shared" si="1"/>
        <v>0</v>
      </c>
      <c r="N29" s="2" t="s">
        <v>1363</v>
      </c>
      <c r="O29" s="2" t="s">
        <v>154</v>
      </c>
      <c r="P29" s="2" t="s">
        <v>154</v>
      </c>
      <c r="Q29" s="2" t="s">
        <v>154</v>
      </c>
      <c r="R29" s="2">
        <v>70</v>
      </c>
      <c r="S29" s="2">
        <v>40</v>
      </c>
      <c r="T29" s="2" t="s">
        <v>1364</v>
      </c>
      <c r="U29" s="2" t="s">
        <v>1365</v>
      </c>
      <c r="V29" s="2">
        <v>1E-4</v>
      </c>
      <c r="W29" s="2">
        <v>59</v>
      </c>
      <c r="X29" s="2">
        <v>0</v>
      </c>
    </row>
    <row r="30" spans="1:24" x14ac:dyDescent="0.45">
      <c r="A30" s="2" t="s">
        <v>122</v>
      </c>
      <c r="B30" s="2" t="s">
        <v>169</v>
      </c>
      <c r="C30" s="2">
        <v>0</v>
      </c>
      <c r="D30" s="2" t="s">
        <v>125</v>
      </c>
      <c r="E30" s="2">
        <v>6</v>
      </c>
      <c r="F30" s="2" t="s">
        <v>154</v>
      </c>
      <c r="G30" s="2">
        <v>0</v>
      </c>
      <c r="H30" s="2">
        <v>0</v>
      </c>
      <c r="I30" s="2" t="s">
        <v>154</v>
      </c>
      <c r="J30" s="2">
        <v>0</v>
      </c>
      <c r="K30" s="2">
        <f t="shared" si="0"/>
        <v>0</v>
      </c>
      <c r="L30" s="2">
        <v>0</v>
      </c>
      <c r="M30" s="2">
        <f t="shared" si="1"/>
        <v>0</v>
      </c>
      <c r="N30" s="2" t="s">
        <v>1363</v>
      </c>
      <c r="O30" s="2" t="s">
        <v>154</v>
      </c>
      <c r="P30" s="2" t="s">
        <v>154</v>
      </c>
      <c r="Q30" s="2" t="s">
        <v>154</v>
      </c>
      <c r="R30" s="2">
        <v>70</v>
      </c>
      <c r="S30" s="2">
        <v>40</v>
      </c>
      <c r="T30" s="2" t="s">
        <v>1364</v>
      </c>
      <c r="U30" s="2" t="s">
        <v>1365</v>
      </c>
      <c r="V30" s="2">
        <v>1E-4</v>
      </c>
      <c r="W30" s="2">
        <v>234</v>
      </c>
      <c r="X30" s="2">
        <v>12</v>
      </c>
    </row>
    <row r="31" spans="1:24" x14ac:dyDescent="0.45">
      <c r="A31" s="2" t="s">
        <v>122</v>
      </c>
      <c r="B31" s="2" t="s">
        <v>170</v>
      </c>
      <c r="C31" s="2">
        <v>0.6</v>
      </c>
      <c r="D31" s="2" t="s">
        <v>171</v>
      </c>
      <c r="E31" s="2">
        <v>6</v>
      </c>
      <c r="F31" s="2" t="s">
        <v>126</v>
      </c>
      <c r="G31" s="2">
        <v>0</v>
      </c>
      <c r="H31" s="2">
        <v>2</v>
      </c>
      <c r="I31" s="2" t="s">
        <v>127</v>
      </c>
      <c r="J31" s="2">
        <v>7.0000000000000001E-3</v>
      </c>
      <c r="K31" s="2">
        <f t="shared" si="0"/>
        <v>7</v>
      </c>
      <c r="L31" s="2">
        <v>5.2642100000000001E-3</v>
      </c>
      <c r="M31" s="2">
        <f t="shared" si="1"/>
        <v>5.2642100000000003</v>
      </c>
      <c r="N31" s="2" t="s">
        <v>1363</v>
      </c>
      <c r="O31" s="2" t="s">
        <v>1366</v>
      </c>
      <c r="P31" s="2" t="s">
        <v>1367</v>
      </c>
      <c r="Q31" s="2" t="s">
        <v>1368</v>
      </c>
      <c r="R31" s="2">
        <v>70</v>
      </c>
      <c r="S31" s="2">
        <v>40</v>
      </c>
      <c r="T31" s="2" t="s">
        <v>1364</v>
      </c>
      <c r="U31" s="2" t="s">
        <v>1365</v>
      </c>
      <c r="V31" s="2">
        <v>1E-4</v>
      </c>
      <c r="W31" s="2">
        <v>13</v>
      </c>
      <c r="X31" s="2">
        <v>1</v>
      </c>
    </row>
    <row r="32" spans="1:24" x14ac:dyDescent="0.45">
      <c r="A32" s="2" t="s">
        <v>122</v>
      </c>
      <c r="B32" s="2" t="s">
        <v>172</v>
      </c>
      <c r="C32" s="2">
        <v>0.3</v>
      </c>
      <c r="D32" s="2" t="s">
        <v>125</v>
      </c>
      <c r="E32" s="2">
        <v>6</v>
      </c>
      <c r="F32" s="2" t="s">
        <v>126</v>
      </c>
      <c r="G32" s="2">
        <v>0</v>
      </c>
      <c r="H32" s="2">
        <v>2</v>
      </c>
      <c r="I32" s="2" t="s">
        <v>127</v>
      </c>
      <c r="J32" s="2">
        <v>7.0000000000000001E-3</v>
      </c>
      <c r="K32" s="2">
        <f t="shared" si="0"/>
        <v>7</v>
      </c>
      <c r="L32" s="2">
        <v>1.8633499999999999E-3</v>
      </c>
      <c r="M32" s="2">
        <f t="shared" si="1"/>
        <v>1.8633499999999998</v>
      </c>
      <c r="N32" s="2" t="s">
        <v>1363</v>
      </c>
      <c r="O32" s="2" t="s">
        <v>1366</v>
      </c>
      <c r="P32" s="2" t="s">
        <v>1367</v>
      </c>
      <c r="Q32" s="2" t="s">
        <v>1368</v>
      </c>
      <c r="R32" s="2">
        <v>70</v>
      </c>
      <c r="S32" s="2">
        <v>40</v>
      </c>
      <c r="T32" s="2" t="s">
        <v>1364</v>
      </c>
      <c r="U32" s="2" t="s">
        <v>1365</v>
      </c>
      <c r="V32" s="2">
        <v>1E-4</v>
      </c>
      <c r="W32" s="2">
        <v>8</v>
      </c>
      <c r="X32" s="2">
        <v>0</v>
      </c>
    </row>
    <row r="33" spans="1:24" x14ac:dyDescent="0.45">
      <c r="A33" s="2" t="s">
        <v>122</v>
      </c>
      <c r="B33" s="2" t="s">
        <v>174</v>
      </c>
      <c r="C33" s="2">
        <v>0.3</v>
      </c>
      <c r="D33" s="2" t="s">
        <v>125</v>
      </c>
      <c r="E33" s="2">
        <v>6</v>
      </c>
      <c r="F33" s="2" t="s">
        <v>126</v>
      </c>
      <c r="G33" s="2">
        <v>0</v>
      </c>
      <c r="H33" s="2">
        <v>2</v>
      </c>
      <c r="I33" s="2" t="s">
        <v>127</v>
      </c>
      <c r="J33" s="2">
        <v>7.0000000000000001E-3</v>
      </c>
      <c r="K33" s="2">
        <f t="shared" si="0"/>
        <v>7</v>
      </c>
      <c r="L33" s="2">
        <v>1.7925599999999999E-3</v>
      </c>
      <c r="M33" s="2">
        <f t="shared" si="1"/>
        <v>1.7925599999999999</v>
      </c>
      <c r="N33" s="2" t="s">
        <v>1363</v>
      </c>
      <c r="O33" s="2" t="s">
        <v>1366</v>
      </c>
      <c r="P33" s="2" t="s">
        <v>1367</v>
      </c>
      <c r="Q33" s="2" t="s">
        <v>1368</v>
      </c>
      <c r="R33" s="2">
        <v>70</v>
      </c>
      <c r="S33" s="2">
        <v>40</v>
      </c>
      <c r="T33" s="2" t="s">
        <v>1364</v>
      </c>
      <c r="U33" s="2" t="s">
        <v>1365</v>
      </c>
      <c r="V33" s="2">
        <v>1E-4</v>
      </c>
      <c r="W33" s="2">
        <v>10</v>
      </c>
      <c r="X33" s="2">
        <v>0</v>
      </c>
    </row>
    <row r="34" spans="1:24" x14ac:dyDescent="0.45">
      <c r="A34" s="2" t="s">
        <v>122</v>
      </c>
      <c r="B34" s="2" t="s">
        <v>175</v>
      </c>
      <c r="C34" s="2">
        <v>0.3</v>
      </c>
      <c r="D34" s="2" t="s">
        <v>125</v>
      </c>
      <c r="E34" s="2">
        <v>6</v>
      </c>
      <c r="F34" s="2" t="s">
        <v>126</v>
      </c>
      <c r="G34" s="2">
        <v>0</v>
      </c>
      <c r="H34" s="2">
        <v>2</v>
      </c>
      <c r="I34" s="2" t="s">
        <v>127</v>
      </c>
      <c r="J34" s="2">
        <v>7.0000000000000001E-3</v>
      </c>
      <c r="K34" s="2">
        <f t="shared" ref="K34:K65" si="2">IF(J34="","",J34*1000)</f>
        <v>7</v>
      </c>
      <c r="L34" s="2">
        <v>1.76183E-3</v>
      </c>
      <c r="M34" s="2">
        <f t="shared" ref="M34:M65" si="3">IF(L34="","",L34*1000)</f>
        <v>1.76183</v>
      </c>
      <c r="N34" s="2" t="s">
        <v>1363</v>
      </c>
      <c r="O34" s="2" t="s">
        <v>1366</v>
      </c>
      <c r="P34" s="2" t="s">
        <v>1367</v>
      </c>
      <c r="Q34" s="2" t="s">
        <v>1368</v>
      </c>
      <c r="R34" s="2">
        <v>70</v>
      </c>
      <c r="S34" s="2">
        <v>40</v>
      </c>
      <c r="T34" s="2" t="s">
        <v>1364</v>
      </c>
      <c r="U34" s="2" t="s">
        <v>1365</v>
      </c>
      <c r="V34" s="2">
        <v>1E-4</v>
      </c>
      <c r="W34" s="2">
        <v>15</v>
      </c>
      <c r="X34" s="2">
        <v>0</v>
      </c>
    </row>
    <row r="35" spans="1:24" x14ac:dyDescent="0.45">
      <c r="A35" s="2" t="s">
        <v>122</v>
      </c>
      <c r="B35" s="2" t="s">
        <v>176</v>
      </c>
      <c r="C35" s="2">
        <v>0.3</v>
      </c>
      <c r="D35" s="2" t="s">
        <v>125</v>
      </c>
      <c r="E35" s="2">
        <v>6</v>
      </c>
      <c r="F35" s="2" t="s">
        <v>126</v>
      </c>
      <c r="G35" s="2">
        <v>0</v>
      </c>
      <c r="H35" s="2">
        <v>2</v>
      </c>
      <c r="I35" s="2" t="s">
        <v>127</v>
      </c>
      <c r="J35" s="2">
        <v>7.0000000000000001E-3</v>
      </c>
      <c r="K35" s="2">
        <f t="shared" si="2"/>
        <v>7</v>
      </c>
      <c r="L35" s="2">
        <v>1.6850599999999999E-3</v>
      </c>
      <c r="M35" s="2">
        <f t="shared" si="3"/>
        <v>1.68506</v>
      </c>
      <c r="N35" s="2" t="s">
        <v>1363</v>
      </c>
      <c r="O35" s="2" t="s">
        <v>1366</v>
      </c>
      <c r="P35" s="2" t="s">
        <v>1367</v>
      </c>
      <c r="Q35" s="2" t="s">
        <v>1368</v>
      </c>
      <c r="R35" s="2">
        <v>70</v>
      </c>
      <c r="S35" s="2">
        <v>40</v>
      </c>
      <c r="T35" s="2" t="s">
        <v>1364</v>
      </c>
      <c r="U35" s="2" t="s">
        <v>1365</v>
      </c>
      <c r="V35" s="2">
        <v>1E-4</v>
      </c>
      <c r="W35" s="2">
        <v>10</v>
      </c>
      <c r="X35" s="2">
        <v>0</v>
      </c>
    </row>
    <row r="36" spans="1:24" x14ac:dyDescent="0.45">
      <c r="A36" s="2" t="s">
        <v>122</v>
      </c>
      <c r="B36" s="2" t="s">
        <v>177</v>
      </c>
      <c r="C36" s="2">
        <v>0.3</v>
      </c>
      <c r="D36" s="2" t="s">
        <v>125</v>
      </c>
      <c r="E36" s="2">
        <v>6</v>
      </c>
      <c r="F36" s="2" t="s">
        <v>126</v>
      </c>
      <c r="G36" s="2">
        <v>0</v>
      </c>
      <c r="H36" s="2">
        <v>2</v>
      </c>
      <c r="I36" s="2" t="s">
        <v>127</v>
      </c>
      <c r="J36" s="2">
        <v>7.0000000000000001E-3</v>
      </c>
      <c r="K36" s="2">
        <f t="shared" si="2"/>
        <v>7</v>
      </c>
      <c r="L36" s="2">
        <v>1.47905E-3</v>
      </c>
      <c r="M36" s="2">
        <f t="shared" si="3"/>
        <v>1.47905</v>
      </c>
      <c r="N36" s="2" t="s">
        <v>1363</v>
      </c>
      <c r="O36" s="2" t="s">
        <v>1366</v>
      </c>
      <c r="P36" s="2" t="s">
        <v>1367</v>
      </c>
      <c r="Q36" s="2" t="s">
        <v>1368</v>
      </c>
      <c r="R36" s="2">
        <v>70</v>
      </c>
      <c r="S36" s="2">
        <v>40</v>
      </c>
      <c r="T36" s="2" t="s">
        <v>1364</v>
      </c>
      <c r="U36" s="2" t="s">
        <v>1365</v>
      </c>
      <c r="V36" s="2">
        <v>1E-4</v>
      </c>
      <c r="W36" s="2">
        <v>7</v>
      </c>
      <c r="X36" s="2">
        <v>0</v>
      </c>
    </row>
    <row r="37" spans="1:24" x14ac:dyDescent="0.45">
      <c r="A37" s="2" t="s">
        <v>122</v>
      </c>
      <c r="B37" s="2" t="s">
        <v>178</v>
      </c>
      <c r="C37" s="2">
        <v>0.6</v>
      </c>
      <c r="D37" s="2" t="s">
        <v>179</v>
      </c>
      <c r="E37" s="2">
        <v>6</v>
      </c>
      <c r="F37" s="2" t="s">
        <v>126</v>
      </c>
      <c r="G37" s="2">
        <v>0</v>
      </c>
      <c r="H37" s="2">
        <v>2</v>
      </c>
      <c r="I37" s="2" t="s">
        <v>127</v>
      </c>
      <c r="J37" s="2">
        <v>7.0000000000000001E-3</v>
      </c>
      <c r="K37" s="2">
        <f t="shared" si="2"/>
        <v>7</v>
      </c>
      <c r="L37" s="2">
        <v>3.3794000000000001E-4</v>
      </c>
      <c r="M37" s="2">
        <f t="shared" si="3"/>
        <v>0.33794000000000002</v>
      </c>
      <c r="N37" s="2" t="s">
        <v>1363</v>
      </c>
      <c r="O37" s="2" t="s">
        <v>1366</v>
      </c>
      <c r="P37" s="2" t="s">
        <v>1367</v>
      </c>
      <c r="Q37" s="2" t="s">
        <v>1368</v>
      </c>
      <c r="R37" s="2">
        <v>70</v>
      </c>
      <c r="S37" s="2">
        <v>40</v>
      </c>
      <c r="T37" s="2" t="s">
        <v>1364</v>
      </c>
      <c r="U37" s="2" t="s">
        <v>1365</v>
      </c>
      <c r="V37" s="2">
        <v>1E-4</v>
      </c>
      <c r="W37" s="2">
        <v>14</v>
      </c>
      <c r="X37" s="2">
        <v>1</v>
      </c>
    </row>
    <row r="38" spans="1:24" x14ac:dyDescent="0.45">
      <c r="A38" s="2" t="s">
        <v>122</v>
      </c>
      <c r="B38" s="2" t="s">
        <v>180</v>
      </c>
      <c r="C38" s="2">
        <v>0.6</v>
      </c>
      <c r="D38" s="2" t="s">
        <v>181</v>
      </c>
      <c r="E38" s="2">
        <v>6</v>
      </c>
      <c r="F38" s="2" t="s">
        <v>126</v>
      </c>
      <c r="G38" s="2">
        <v>0</v>
      </c>
      <c r="H38" s="2">
        <v>2</v>
      </c>
      <c r="I38" s="2" t="s">
        <v>127</v>
      </c>
      <c r="J38" s="2">
        <v>7.0000000000000001E-3</v>
      </c>
      <c r="K38" s="2">
        <f t="shared" si="2"/>
        <v>7</v>
      </c>
      <c r="L38" s="2">
        <v>3.3067000000000001E-3</v>
      </c>
      <c r="M38" s="2">
        <f t="shared" si="3"/>
        <v>3.3067000000000002</v>
      </c>
      <c r="N38" s="2" t="s">
        <v>1363</v>
      </c>
      <c r="O38" s="2" t="s">
        <v>1366</v>
      </c>
      <c r="P38" s="2" t="s">
        <v>1367</v>
      </c>
      <c r="Q38" s="2" t="s">
        <v>1368</v>
      </c>
      <c r="R38" s="2">
        <v>70</v>
      </c>
      <c r="S38" s="2">
        <v>40</v>
      </c>
      <c r="T38" s="2" t="s">
        <v>1364</v>
      </c>
      <c r="U38" s="2" t="s">
        <v>1365</v>
      </c>
      <c r="V38" s="2">
        <v>1E-4</v>
      </c>
      <c r="W38" s="2">
        <v>13</v>
      </c>
      <c r="X38" s="2">
        <v>1</v>
      </c>
    </row>
    <row r="39" spans="1:24" x14ac:dyDescent="0.45">
      <c r="A39" s="2" t="s">
        <v>122</v>
      </c>
      <c r="B39" s="2" t="s">
        <v>182</v>
      </c>
      <c r="C39" s="2">
        <v>0.6</v>
      </c>
      <c r="D39" s="2" t="s">
        <v>183</v>
      </c>
      <c r="E39" s="2">
        <v>6</v>
      </c>
      <c r="F39" s="2" t="s">
        <v>126</v>
      </c>
      <c r="G39" s="2">
        <v>0</v>
      </c>
      <c r="H39" s="2">
        <v>2</v>
      </c>
      <c r="I39" s="2" t="s">
        <v>127</v>
      </c>
      <c r="J39" s="2">
        <v>7.0000000000000001E-3</v>
      </c>
      <c r="K39" s="2">
        <f t="shared" si="2"/>
        <v>7</v>
      </c>
      <c r="L39" s="2">
        <v>4.4077099999999996E-3</v>
      </c>
      <c r="M39" s="2">
        <f t="shared" si="3"/>
        <v>4.4077099999999998</v>
      </c>
      <c r="N39" s="2" t="s">
        <v>1363</v>
      </c>
      <c r="O39" s="2" t="s">
        <v>1366</v>
      </c>
      <c r="P39" s="2" t="s">
        <v>1367</v>
      </c>
      <c r="Q39" s="2" t="s">
        <v>1368</v>
      </c>
      <c r="R39" s="2">
        <v>70</v>
      </c>
      <c r="S39" s="2">
        <v>40</v>
      </c>
      <c r="T39" s="2" t="s">
        <v>1364</v>
      </c>
      <c r="U39" s="2" t="s">
        <v>1365</v>
      </c>
      <c r="V39" s="2">
        <v>1E-4</v>
      </c>
      <c r="W39" s="2">
        <v>13</v>
      </c>
      <c r="X39" s="2">
        <v>1</v>
      </c>
    </row>
    <row r="40" spans="1:24" x14ac:dyDescent="0.45">
      <c r="A40" s="2" t="s">
        <v>122</v>
      </c>
      <c r="B40" s="2" t="s">
        <v>184</v>
      </c>
      <c r="C40" s="2">
        <v>0.6</v>
      </c>
      <c r="D40" s="2" t="s">
        <v>185</v>
      </c>
      <c r="E40" s="2">
        <v>6</v>
      </c>
      <c r="F40" s="2" t="s">
        <v>126</v>
      </c>
      <c r="G40" s="2">
        <v>0</v>
      </c>
      <c r="H40" s="2">
        <v>2</v>
      </c>
      <c r="I40" s="2" t="s">
        <v>127</v>
      </c>
      <c r="J40" s="2">
        <v>7.0000000000000001E-3</v>
      </c>
      <c r="K40" s="2">
        <f t="shared" si="2"/>
        <v>7</v>
      </c>
      <c r="L40" s="2">
        <v>4.2903400000000001E-3</v>
      </c>
      <c r="M40" s="2">
        <f t="shared" si="3"/>
        <v>4.2903400000000005</v>
      </c>
      <c r="N40" s="2" t="s">
        <v>1363</v>
      </c>
      <c r="O40" s="2" t="s">
        <v>1366</v>
      </c>
      <c r="P40" s="2" t="s">
        <v>1367</v>
      </c>
      <c r="Q40" s="2" t="s">
        <v>1368</v>
      </c>
      <c r="R40" s="2">
        <v>70</v>
      </c>
      <c r="S40" s="2">
        <v>40</v>
      </c>
      <c r="T40" s="2" t="s">
        <v>1364</v>
      </c>
      <c r="U40" s="2" t="s">
        <v>1365</v>
      </c>
      <c r="V40" s="2">
        <v>1E-4</v>
      </c>
      <c r="W40" s="2">
        <v>14</v>
      </c>
      <c r="X40" s="2">
        <v>1</v>
      </c>
    </row>
    <row r="41" spans="1:24" x14ac:dyDescent="0.45">
      <c r="A41" s="2" t="s">
        <v>122</v>
      </c>
      <c r="B41" s="2" t="s">
        <v>186</v>
      </c>
      <c r="C41" s="2">
        <v>0.6</v>
      </c>
      <c r="D41" s="2" t="s">
        <v>187</v>
      </c>
      <c r="E41" s="2">
        <v>6</v>
      </c>
      <c r="F41" s="2" t="s">
        <v>126</v>
      </c>
      <c r="G41" s="2">
        <v>0</v>
      </c>
      <c r="H41" s="2">
        <v>2</v>
      </c>
      <c r="I41" s="2" t="s">
        <v>127</v>
      </c>
      <c r="J41" s="2">
        <v>7.0000000000000001E-3</v>
      </c>
      <c r="K41" s="2">
        <f t="shared" si="2"/>
        <v>7</v>
      </c>
      <c r="L41" s="2">
        <v>5.3662400000000004E-3</v>
      </c>
      <c r="M41" s="2">
        <f t="shared" si="3"/>
        <v>5.3662400000000003</v>
      </c>
      <c r="N41" s="2" t="s">
        <v>1363</v>
      </c>
      <c r="O41" s="2" t="s">
        <v>1366</v>
      </c>
      <c r="P41" s="2" t="s">
        <v>1367</v>
      </c>
      <c r="Q41" s="2" t="s">
        <v>1368</v>
      </c>
      <c r="R41" s="2">
        <v>70</v>
      </c>
      <c r="S41" s="2">
        <v>40</v>
      </c>
      <c r="T41" s="2" t="s">
        <v>1364</v>
      </c>
      <c r="U41" s="2" t="s">
        <v>1365</v>
      </c>
      <c r="V41" s="2">
        <v>1E-4</v>
      </c>
      <c r="W41" s="2">
        <v>14</v>
      </c>
      <c r="X41" s="2">
        <v>1</v>
      </c>
    </row>
    <row r="42" spans="1:24" x14ac:dyDescent="0.45">
      <c r="A42" s="2" t="s">
        <v>122</v>
      </c>
      <c r="B42" s="2" t="s">
        <v>188</v>
      </c>
      <c r="C42" s="2">
        <v>0.6</v>
      </c>
      <c r="D42" s="2" t="s">
        <v>171</v>
      </c>
      <c r="E42" s="2">
        <v>6</v>
      </c>
      <c r="F42" s="2" t="s">
        <v>126</v>
      </c>
      <c r="G42" s="2">
        <v>0</v>
      </c>
      <c r="H42" s="2">
        <v>2</v>
      </c>
      <c r="I42" s="2" t="s">
        <v>127</v>
      </c>
      <c r="J42" s="2">
        <v>7.0000000000000001E-3</v>
      </c>
      <c r="K42" s="2">
        <f t="shared" si="2"/>
        <v>7</v>
      </c>
      <c r="L42" s="2">
        <v>4.2742700000000002E-3</v>
      </c>
      <c r="M42" s="2">
        <f t="shared" si="3"/>
        <v>4.2742700000000005</v>
      </c>
      <c r="N42" s="2" t="s">
        <v>1363</v>
      </c>
      <c r="O42" s="2" t="s">
        <v>1366</v>
      </c>
      <c r="P42" s="2" t="s">
        <v>1367</v>
      </c>
      <c r="Q42" s="2" t="s">
        <v>1368</v>
      </c>
      <c r="R42" s="2">
        <v>70</v>
      </c>
      <c r="S42" s="2">
        <v>40</v>
      </c>
      <c r="T42" s="2" t="s">
        <v>1364</v>
      </c>
      <c r="U42" s="2" t="s">
        <v>1365</v>
      </c>
      <c r="V42" s="2">
        <v>1E-4</v>
      </c>
      <c r="W42" s="2">
        <v>14</v>
      </c>
      <c r="X42" s="2">
        <v>1</v>
      </c>
    </row>
    <row r="43" spans="1:24" x14ac:dyDescent="0.45">
      <c r="A43" s="2" t="s">
        <v>122</v>
      </c>
      <c r="B43" s="2" t="s">
        <v>189</v>
      </c>
      <c r="C43" s="2">
        <v>0.6</v>
      </c>
      <c r="D43" s="2" t="s">
        <v>190</v>
      </c>
      <c r="E43" s="2">
        <v>6</v>
      </c>
      <c r="F43" s="2" t="s">
        <v>126</v>
      </c>
      <c r="G43" s="2">
        <v>0</v>
      </c>
      <c r="H43" s="2">
        <v>2</v>
      </c>
      <c r="I43" s="2" t="s">
        <v>127</v>
      </c>
      <c r="J43" s="2">
        <v>7.0000000000000001E-3</v>
      </c>
      <c r="K43" s="2">
        <f t="shared" si="2"/>
        <v>7</v>
      </c>
      <c r="L43" s="2">
        <v>5.8034899999999997E-3</v>
      </c>
      <c r="M43" s="2">
        <f t="shared" si="3"/>
        <v>5.80349</v>
      </c>
      <c r="N43" s="2" t="s">
        <v>1363</v>
      </c>
      <c r="O43" s="2" t="s">
        <v>1366</v>
      </c>
      <c r="P43" s="2" t="s">
        <v>1367</v>
      </c>
      <c r="Q43" s="2" t="s">
        <v>1368</v>
      </c>
      <c r="R43" s="2">
        <v>70</v>
      </c>
      <c r="S43" s="2">
        <v>40</v>
      </c>
      <c r="T43" s="2" t="s">
        <v>1364</v>
      </c>
      <c r="U43" s="2" t="s">
        <v>1365</v>
      </c>
      <c r="V43" s="2">
        <v>1E-4</v>
      </c>
      <c r="W43" s="2">
        <v>14</v>
      </c>
      <c r="X43" s="2">
        <v>1</v>
      </c>
    </row>
    <row r="44" spans="1:24" x14ac:dyDescent="0.45">
      <c r="A44" s="2" t="s">
        <v>122</v>
      </c>
      <c r="B44" s="2" t="s">
        <v>191</v>
      </c>
      <c r="C44" s="2">
        <v>0.6</v>
      </c>
      <c r="D44" s="2" t="s">
        <v>192</v>
      </c>
      <c r="E44" s="2">
        <v>6</v>
      </c>
      <c r="F44" s="2" t="s">
        <v>126</v>
      </c>
      <c r="G44" s="2">
        <v>0</v>
      </c>
      <c r="H44" s="2">
        <v>2</v>
      </c>
      <c r="I44" s="2" t="s">
        <v>127</v>
      </c>
      <c r="J44" s="2">
        <v>7.0000000000000001E-3</v>
      </c>
      <c r="K44" s="2">
        <f t="shared" si="2"/>
        <v>7</v>
      </c>
      <c r="L44" s="2">
        <v>5.4809699999999999E-3</v>
      </c>
      <c r="M44" s="2">
        <f t="shared" si="3"/>
        <v>5.4809700000000001</v>
      </c>
      <c r="N44" s="2" t="s">
        <v>1363</v>
      </c>
      <c r="O44" s="2" t="s">
        <v>1366</v>
      </c>
      <c r="P44" s="2" t="s">
        <v>1367</v>
      </c>
      <c r="Q44" s="2" t="s">
        <v>1368</v>
      </c>
      <c r="R44" s="2">
        <v>70</v>
      </c>
      <c r="S44" s="2">
        <v>40</v>
      </c>
      <c r="T44" s="2" t="s">
        <v>1364</v>
      </c>
      <c r="U44" s="2" t="s">
        <v>1365</v>
      </c>
      <c r="V44" s="2">
        <v>1E-4</v>
      </c>
      <c r="W44" s="2">
        <v>11</v>
      </c>
      <c r="X44" s="2">
        <v>1</v>
      </c>
    </row>
    <row r="45" spans="1:24" x14ac:dyDescent="0.45">
      <c r="A45" s="2" t="s">
        <v>122</v>
      </c>
      <c r="B45" s="2" t="s">
        <v>193</v>
      </c>
      <c r="C45" s="2">
        <v>0</v>
      </c>
      <c r="D45" s="2" t="s">
        <v>125</v>
      </c>
      <c r="E45" s="2">
        <v>6</v>
      </c>
      <c r="F45" s="2" t="s">
        <v>126</v>
      </c>
      <c r="G45" s="2">
        <v>0</v>
      </c>
      <c r="H45" s="2">
        <v>2</v>
      </c>
      <c r="I45" s="2" t="s">
        <v>127</v>
      </c>
      <c r="J45" s="2">
        <v>0</v>
      </c>
      <c r="K45" s="2">
        <f t="shared" si="2"/>
        <v>0</v>
      </c>
      <c r="L45" s="2">
        <v>0</v>
      </c>
      <c r="M45" s="2">
        <f t="shared" si="3"/>
        <v>0</v>
      </c>
      <c r="N45" s="2" t="s">
        <v>1363</v>
      </c>
      <c r="O45" s="2" t="s">
        <v>1366</v>
      </c>
      <c r="P45" s="2" t="s">
        <v>1367</v>
      </c>
      <c r="Q45" s="2" t="s">
        <v>1368</v>
      </c>
      <c r="R45" s="2">
        <v>70</v>
      </c>
      <c r="S45" s="2">
        <v>40</v>
      </c>
      <c r="T45" s="2" t="s">
        <v>1364</v>
      </c>
      <c r="U45" s="2" t="s">
        <v>1365</v>
      </c>
      <c r="V45" s="2">
        <v>1E-4</v>
      </c>
      <c r="W45" s="2">
        <v>6</v>
      </c>
      <c r="X45" s="2">
        <v>0</v>
      </c>
    </row>
    <row r="46" spans="1:24" x14ac:dyDescent="0.45">
      <c r="A46" s="2" t="s">
        <v>122</v>
      </c>
      <c r="B46" s="2" t="s">
        <v>194</v>
      </c>
      <c r="C46" s="2">
        <v>0.6</v>
      </c>
      <c r="D46" s="2" t="s">
        <v>125</v>
      </c>
      <c r="E46" s="2">
        <v>6</v>
      </c>
      <c r="F46" s="2" t="s">
        <v>126</v>
      </c>
      <c r="G46" s="2">
        <v>0</v>
      </c>
      <c r="H46" s="2">
        <v>2</v>
      </c>
      <c r="I46" s="2" t="s">
        <v>127</v>
      </c>
      <c r="J46" s="2">
        <v>7.0000000000000001E-3</v>
      </c>
      <c r="K46" s="2">
        <f t="shared" si="2"/>
        <v>7</v>
      </c>
      <c r="L46" s="2">
        <v>2.1207700000000001E-3</v>
      </c>
      <c r="M46" s="2">
        <f t="shared" si="3"/>
        <v>2.1207700000000003</v>
      </c>
      <c r="N46" s="2" t="s">
        <v>1363</v>
      </c>
      <c r="O46" s="2" t="s">
        <v>1366</v>
      </c>
      <c r="P46" s="2" t="s">
        <v>1367</v>
      </c>
      <c r="Q46" s="2" t="s">
        <v>1368</v>
      </c>
      <c r="R46" s="2">
        <v>70</v>
      </c>
      <c r="S46" s="2">
        <v>40</v>
      </c>
      <c r="T46" s="2" t="s">
        <v>1364</v>
      </c>
      <c r="U46" s="2" t="s">
        <v>1365</v>
      </c>
      <c r="V46" s="2">
        <v>1E-4</v>
      </c>
      <c r="W46" s="2">
        <v>10</v>
      </c>
      <c r="X46" s="2">
        <v>1</v>
      </c>
    </row>
    <row r="47" spans="1:24" x14ac:dyDescent="0.45">
      <c r="A47" s="2" t="s">
        <v>122</v>
      </c>
      <c r="B47" s="2" t="s">
        <v>195</v>
      </c>
      <c r="C47" s="2">
        <v>0.6</v>
      </c>
      <c r="D47" s="2" t="s">
        <v>196</v>
      </c>
      <c r="E47" s="2">
        <v>6</v>
      </c>
      <c r="F47" s="2" t="s">
        <v>126</v>
      </c>
      <c r="G47" s="2">
        <v>0</v>
      </c>
      <c r="H47" s="2">
        <v>2</v>
      </c>
      <c r="I47" s="2" t="s">
        <v>127</v>
      </c>
      <c r="J47" s="2">
        <v>7.0000000000000001E-3</v>
      </c>
      <c r="K47" s="2">
        <f t="shared" si="2"/>
        <v>7</v>
      </c>
      <c r="L47" s="2">
        <v>3.67411E-3</v>
      </c>
      <c r="M47" s="2">
        <f t="shared" si="3"/>
        <v>3.6741099999999998</v>
      </c>
      <c r="N47" s="2" t="s">
        <v>1363</v>
      </c>
      <c r="O47" s="2" t="s">
        <v>1366</v>
      </c>
      <c r="P47" s="2" t="s">
        <v>1367</v>
      </c>
      <c r="Q47" s="2" t="s">
        <v>1368</v>
      </c>
      <c r="R47" s="2">
        <v>70</v>
      </c>
      <c r="S47" s="2">
        <v>40</v>
      </c>
      <c r="T47" s="2" t="s">
        <v>1364</v>
      </c>
      <c r="U47" s="2" t="s">
        <v>1365</v>
      </c>
      <c r="V47" s="2">
        <v>1E-4</v>
      </c>
      <c r="W47" s="2">
        <v>13</v>
      </c>
      <c r="X47" s="2">
        <v>1</v>
      </c>
    </row>
    <row r="48" spans="1:24" x14ac:dyDescent="0.45">
      <c r="A48" s="2" t="s">
        <v>122</v>
      </c>
      <c r="B48" s="2" t="s">
        <v>197</v>
      </c>
      <c r="C48" s="2">
        <v>0.6</v>
      </c>
      <c r="D48" s="2" t="s">
        <v>198</v>
      </c>
      <c r="E48" s="2">
        <v>6</v>
      </c>
      <c r="F48" s="2" t="s">
        <v>126</v>
      </c>
      <c r="G48" s="2">
        <v>0</v>
      </c>
      <c r="H48" s="2">
        <v>2</v>
      </c>
      <c r="I48" s="2" t="s">
        <v>127</v>
      </c>
      <c r="J48" s="2">
        <v>7.0000000000000001E-3</v>
      </c>
      <c r="K48" s="2">
        <f t="shared" si="2"/>
        <v>7</v>
      </c>
      <c r="L48" s="2">
        <v>2.9384300000000001E-3</v>
      </c>
      <c r="M48" s="2">
        <f t="shared" si="3"/>
        <v>2.9384300000000003</v>
      </c>
      <c r="N48" s="2" t="s">
        <v>1363</v>
      </c>
      <c r="O48" s="2" t="s">
        <v>1366</v>
      </c>
      <c r="P48" s="2" t="s">
        <v>1367</v>
      </c>
      <c r="Q48" s="2" t="s">
        <v>1368</v>
      </c>
      <c r="R48" s="2">
        <v>70</v>
      </c>
      <c r="S48" s="2">
        <v>40</v>
      </c>
      <c r="T48" s="2" t="s">
        <v>1364</v>
      </c>
      <c r="U48" s="2" t="s">
        <v>1365</v>
      </c>
      <c r="V48" s="2">
        <v>1E-4</v>
      </c>
      <c r="W48" s="2">
        <v>26</v>
      </c>
      <c r="X48" s="2">
        <v>3</v>
      </c>
    </row>
    <row r="49" spans="1:24" x14ac:dyDescent="0.45">
      <c r="A49" s="2" t="s">
        <v>122</v>
      </c>
      <c r="B49" s="2" t="s">
        <v>199</v>
      </c>
      <c r="C49" s="2">
        <v>0.6</v>
      </c>
      <c r="D49" s="2" t="s">
        <v>200</v>
      </c>
      <c r="E49" s="2">
        <v>6</v>
      </c>
      <c r="F49" s="2" t="s">
        <v>126</v>
      </c>
      <c r="G49" s="2">
        <v>0</v>
      </c>
      <c r="H49" s="2">
        <v>2</v>
      </c>
      <c r="I49" s="2" t="s">
        <v>127</v>
      </c>
      <c r="J49" s="2">
        <v>7.0000000000000001E-3</v>
      </c>
      <c r="K49" s="2">
        <f t="shared" si="2"/>
        <v>7</v>
      </c>
      <c r="L49" s="2">
        <v>4.5058299999999997E-3</v>
      </c>
      <c r="M49" s="2">
        <f t="shared" si="3"/>
        <v>4.5058299999999996</v>
      </c>
      <c r="N49" s="2" t="s">
        <v>1363</v>
      </c>
      <c r="O49" s="2" t="s">
        <v>1366</v>
      </c>
      <c r="P49" s="2" t="s">
        <v>1367</v>
      </c>
      <c r="Q49" s="2" t="s">
        <v>1368</v>
      </c>
      <c r="R49" s="2">
        <v>70</v>
      </c>
      <c r="S49" s="2">
        <v>40</v>
      </c>
      <c r="T49" s="2" t="s">
        <v>1364</v>
      </c>
      <c r="U49" s="2" t="s">
        <v>1365</v>
      </c>
      <c r="V49" s="2">
        <v>1E-4</v>
      </c>
      <c r="W49" s="2">
        <v>19</v>
      </c>
      <c r="X49" s="2">
        <v>1</v>
      </c>
    </row>
    <row r="50" spans="1:24" x14ac:dyDescent="0.45">
      <c r="A50" s="2" t="s">
        <v>122</v>
      </c>
      <c r="B50" s="2" t="s">
        <v>201</v>
      </c>
      <c r="C50" s="2">
        <v>0.6</v>
      </c>
      <c r="D50" s="2" t="s">
        <v>202</v>
      </c>
      <c r="E50" s="2">
        <v>6</v>
      </c>
      <c r="F50" s="2" t="s">
        <v>126</v>
      </c>
      <c r="G50" s="2">
        <v>0</v>
      </c>
      <c r="H50" s="2">
        <v>2</v>
      </c>
      <c r="I50" s="2" t="s">
        <v>127</v>
      </c>
      <c r="J50" s="2">
        <v>7.0000000000000001E-3</v>
      </c>
      <c r="K50" s="2">
        <f t="shared" si="2"/>
        <v>7</v>
      </c>
      <c r="L50" s="2">
        <v>5.3662400000000004E-3</v>
      </c>
      <c r="M50" s="2">
        <f t="shared" si="3"/>
        <v>5.3662400000000003</v>
      </c>
      <c r="N50" s="2" t="s">
        <v>1363</v>
      </c>
      <c r="O50" s="2" t="s">
        <v>1366</v>
      </c>
      <c r="P50" s="2" t="s">
        <v>1367</v>
      </c>
      <c r="Q50" s="2" t="s">
        <v>1368</v>
      </c>
      <c r="R50" s="2">
        <v>70</v>
      </c>
      <c r="S50" s="2">
        <v>40</v>
      </c>
      <c r="T50" s="2" t="s">
        <v>1364</v>
      </c>
      <c r="U50" s="2" t="s">
        <v>1365</v>
      </c>
      <c r="V50" s="2">
        <v>1E-4</v>
      </c>
      <c r="W50" s="2">
        <v>17</v>
      </c>
      <c r="X50" s="2">
        <v>1</v>
      </c>
    </row>
    <row r="51" spans="1:24" x14ac:dyDescent="0.45">
      <c r="A51" s="2" t="s">
        <v>122</v>
      </c>
      <c r="B51" s="2" t="s">
        <v>203</v>
      </c>
      <c r="C51" s="2">
        <v>0.6</v>
      </c>
      <c r="D51" s="2" t="s">
        <v>204</v>
      </c>
      <c r="E51" s="2">
        <v>6</v>
      </c>
      <c r="F51" s="2" t="s">
        <v>126</v>
      </c>
      <c r="G51" s="2">
        <v>0</v>
      </c>
      <c r="H51" s="2">
        <v>2</v>
      </c>
      <c r="I51" s="2" t="s">
        <v>127</v>
      </c>
      <c r="J51" s="2">
        <v>7.0000000000000001E-3</v>
      </c>
      <c r="K51" s="2">
        <f t="shared" si="2"/>
        <v>7</v>
      </c>
      <c r="L51" s="2">
        <v>4.3401500000000001E-3</v>
      </c>
      <c r="M51" s="2">
        <f t="shared" si="3"/>
        <v>4.3401500000000004</v>
      </c>
      <c r="N51" s="2" t="s">
        <v>1363</v>
      </c>
      <c r="O51" s="2" t="s">
        <v>1366</v>
      </c>
      <c r="P51" s="2" t="s">
        <v>1367</v>
      </c>
      <c r="Q51" s="2" t="s">
        <v>1368</v>
      </c>
      <c r="R51" s="2">
        <v>70</v>
      </c>
      <c r="S51" s="2">
        <v>40</v>
      </c>
      <c r="T51" s="2" t="s">
        <v>1364</v>
      </c>
      <c r="U51" s="2" t="s">
        <v>1365</v>
      </c>
      <c r="V51" s="2">
        <v>1E-4</v>
      </c>
      <c r="W51" s="2">
        <v>13</v>
      </c>
      <c r="X51" s="2">
        <v>1</v>
      </c>
    </row>
    <row r="52" spans="1:24" x14ac:dyDescent="0.45">
      <c r="A52" s="2" t="s">
        <v>122</v>
      </c>
      <c r="B52" s="2" t="s">
        <v>205</v>
      </c>
      <c r="C52" s="2">
        <v>0.3</v>
      </c>
      <c r="D52" s="2" t="s">
        <v>125</v>
      </c>
      <c r="E52" s="2">
        <v>6</v>
      </c>
      <c r="F52" s="2" t="s">
        <v>126</v>
      </c>
      <c r="G52" s="2">
        <v>0</v>
      </c>
      <c r="H52" s="2">
        <v>2</v>
      </c>
      <c r="I52" s="2" t="s">
        <v>127</v>
      </c>
      <c r="J52" s="2">
        <v>7.0000000000000001E-3</v>
      </c>
      <c r="K52" s="2">
        <f t="shared" si="2"/>
        <v>7</v>
      </c>
      <c r="L52" s="2">
        <v>1.80182E-3</v>
      </c>
      <c r="M52" s="2">
        <f t="shared" si="3"/>
        <v>1.80182</v>
      </c>
      <c r="N52" s="2" t="s">
        <v>1363</v>
      </c>
      <c r="O52" s="2" t="s">
        <v>1366</v>
      </c>
      <c r="P52" s="2" t="s">
        <v>1367</v>
      </c>
      <c r="Q52" s="2" t="s">
        <v>1368</v>
      </c>
      <c r="R52" s="2">
        <v>70</v>
      </c>
      <c r="S52" s="2">
        <v>40</v>
      </c>
      <c r="T52" s="2" t="s">
        <v>1364</v>
      </c>
      <c r="U52" s="2" t="s">
        <v>1365</v>
      </c>
      <c r="V52" s="2">
        <v>1E-4</v>
      </c>
      <c r="W52" s="2">
        <v>21</v>
      </c>
      <c r="X52" s="2">
        <v>0</v>
      </c>
    </row>
    <row r="53" spans="1:24" x14ac:dyDescent="0.45">
      <c r="A53" s="2" t="s">
        <v>122</v>
      </c>
      <c r="B53" s="2" t="s">
        <v>206</v>
      </c>
      <c r="C53" s="2">
        <v>0.3</v>
      </c>
      <c r="D53" s="2" t="s">
        <v>125</v>
      </c>
      <c r="E53" s="2">
        <v>6</v>
      </c>
      <c r="F53" s="2" t="s">
        <v>126</v>
      </c>
      <c r="G53" s="2">
        <v>0</v>
      </c>
      <c r="H53" s="2">
        <v>2</v>
      </c>
      <c r="I53" s="2" t="s">
        <v>127</v>
      </c>
      <c r="J53" s="2">
        <v>7.0000000000000001E-3</v>
      </c>
      <c r="K53" s="2">
        <f t="shared" si="2"/>
        <v>7</v>
      </c>
      <c r="L53" s="2">
        <v>1.8328800000000001E-3</v>
      </c>
      <c r="M53" s="2">
        <f t="shared" si="3"/>
        <v>1.8328800000000001</v>
      </c>
      <c r="N53" s="2" t="s">
        <v>1363</v>
      </c>
      <c r="O53" s="2" t="s">
        <v>1366</v>
      </c>
      <c r="P53" s="2" t="s">
        <v>1367</v>
      </c>
      <c r="Q53" s="2" t="s">
        <v>1368</v>
      </c>
      <c r="R53" s="2">
        <v>70</v>
      </c>
      <c r="S53" s="2">
        <v>40</v>
      </c>
      <c r="T53" s="2" t="s">
        <v>1364</v>
      </c>
      <c r="U53" s="2" t="s">
        <v>1365</v>
      </c>
      <c r="V53" s="2">
        <v>1E-4</v>
      </c>
      <c r="W53" s="2">
        <v>11</v>
      </c>
      <c r="X53" s="2">
        <v>0</v>
      </c>
    </row>
    <row r="54" spans="1:24" x14ac:dyDescent="0.45">
      <c r="A54" s="2" t="s">
        <v>122</v>
      </c>
      <c r="B54" s="2" t="s">
        <v>207</v>
      </c>
      <c r="C54" s="2">
        <v>0.3</v>
      </c>
      <c r="D54" s="2" t="s">
        <v>125</v>
      </c>
      <c r="E54" s="2">
        <v>6</v>
      </c>
      <c r="F54" s="2" t="s">
        <v>126</v>
      </c>
      <c r="G54" s="2">
        <v>0</v>
      </c>
      <c r="H54" s="2">
        <v>2</v>
      </c>
      <c r="I54" s="2" t="s">
        <v>127</v>
      </c>
      <c r="J54" s="2">
        <v>7.0000000000000001E-3</v>
      </c>
      <c r="K54" s="2">
        <f t="shared" si="2"/>
        <v>7</v>
      </c>
      <c r="L54" s="2">
        <v>1.7160700000000001E-3</v>
      </c>
      <c r="M54" s="2">
        <f t="shared" si="3"/>
        <v>1.7160700000000002</v>
      </c>
      <c r="N54" s="2" t="s">
        <v>1363</v>
      </c>
      <c r="O54" s="2" t="s">
        <v>1366</v>
      </c>
      <c r="P54" s="2" t="s">
        <v>1367</v>
      </c>
      <c r="Q54" s="2" t="s">
        <v>1368</v>
      </c>
      <c r="R54" s="2">
        <v>70</v>
      </c>
      <c r="S54" s="2">
        <v>40</v>
      </c>
      <c r="T54" s="2" t="s">
        <v>1364</v>
      </c>
      <c r="U54" s="2" t="s">
        <v>1365</v>
      </c>
      <c r="V54" s="2">
        <v>1E-4</v>
      </c>
      <c r="W54" s="2">
        <v>11</v>
      </c>
      <c r="X54" s="2">
        <v>0</v>
      </c>
    </row>
    <row r="55" spans="1:24" x14ac:dyDescent="0.45">
      <c r="A55" s="2" t="s">
        <v>122</v>
      </c>
      <c r="B55" s="2" t="s">
        <v>208</v>
      </c>
      <c r="C55" s="2">
        <v>0.3</v>
      </c>
      <c r="D55" s="2" t="s">
        <v>125</v>
      </c>
      <c r="E55" s="2">
        <v>6</v>
      </c>
      <c r="F55" s="2" t="s">
        <v>126</v>
      </c>
      <c r="G55" s="2">
        <v>0</v>
      </c>
      <c r="H55" s="2">
        <v>2</v>
      </c>
      <c r="I55" s="2" t="s">
        <v>127</v>
      </c>
      <c r="J55" s="2">
        <v>7.0000000000000001E-3</v>
      </c>
      <c r="K55" s="2">
        <f t="shared" si="2"/>
        <v>7</v>
      </c>
      <c r="L55" s="2">
        <v>1.7668499999999999E-3</v>
      </c>
      <c r="M55" s="2">
        <f t="shared" si="3"/>
        <v>1.76685</v>
      </c>
      <c r="N55" s="2" t="s">
        <v>1363</v>
      </c>
      <c r="O55" s="2" t="s">
        <v>1366</v>
      </c>
      <c r="P55" s="2" t="s">
        <v>1367</v>
      </c>
      <c r="Q55" s="2" t="s">
        <v>1368</v>
      </c>
      <c r="R55" s="2">
        <v>70</v>
      </c>
      <c r="S55" s="2">
        <v>40</v>
      </c>
      <c r="T55" s="2" t="s">
        <v>1364</v>
      </c>
      <c r="U55" s="2" t="s">
        <v>1365</v>
      </c>
      <c r="V55" s="2">
        <v>1E-4</v>
      </c>
      <c r="W55" s="2">
        <v>22</v>
      </c>
      <c r="X55" s="2">
        <v>0</v>
      </c>
    </row>
    <row r="56" spans="1:24" x14ac:dyDescent="0.45">
      <c r="A56" s="2" t="s">
        <v>122</v>
      </c>
      <c r="B56" s="2" t="s">
        <v>209</v>
      </c>
      <c r="C56" s="2">
        <v>0.3</v>
      </c>
      <c r="D56" s="2" t="s">
        <v>125</v>
      </c>
      <c r="E56" s="2">
        <v>6</v>
      </c>
      <c r="F56" s="2" t="s">
        <v>126</v>
      </c>
      <c r="G56" s="2">
        <v>0</v>
      </c>
      <c r="H56" s="2">
        <v>2</v>
      </c>
      <c r="I56" s="2" t="s">
        <v>127</v>
      </c>
      <c r="J56" s="2">
        <v>7.0000000000000001E-3</v>
      </c>
      <c r="K56" s="2">
        <f t="shared" si="2"/>
        <v>7</v>
      </c>
      <c r="L56" s="2">
        <v>1.9073199999999999E-3</v>
      </c>
      <c r="M56" s="2">
        <f t="shared" si="3"/>
        <v>1.9073199999999999</v>
      </c>
      <c r="N56" s="2" t="s">
        <v>1363</v>
      </c>
      <c r="O56" s="2" t="s">
        <v>1366</v>
      </c>
      <c r="P56" s="2" t="s">
        <v>1367</v>
      </c>
      <c r="Q56" s="2" t="s">
        <v>1368</v>
      </c>
      <c r="R56" s="2">
        <v>70</v>
      </c>
      <c r="S56" s="2">
        <v>40</v>
      </c>
      <c r="T56" s="2" t="s">
        <v>1364</v>
      </c>
      <c r="U56" s="2" t="s">
        <v>1365</v>
      </c>
      <c r="V56" s="2">
        <v>1E-4</v>
      </c>
      <c r="W56" s="2">
        <v>10</v>
      </c>
      <c r="X56" s="2">
        <v>0</v>
      </c>
    </row>
    <row r="57" spans="1:24" x14ac:dyDescent="0.45">
      <c r="A57" s="2" t="s">
        <v>122</v>
      </c>
      <c r="B57" s="2" t="s">
        <v>210</v>
      </c>
      <c r="C57" s="2">
        <v>0.3</v>
      </c>
      <c r="D57" s="2" t="s">
        <v>125</v>
      </c>
      <c r="E57" s="2">
        <v>6</v>
      </c>
      <c r="F57" s="2" t="s">
        <v>126</v>
      </c>
      <c r="G57" s="2">
        <v>0</v>
      </c>
      <c r="H57" s="2">
        <v>2</v>
      </c>
      <c r="I57" s="2" t="s">
        <v>127</v>
      </c>
      <c r="J57" s="2">
        <v>7.0000000000000001E-3</v>
      </c>
      <c r="K57" s="2">
        <f t="shared" si="2"/>
        <v>7</v>
      </c>
      <c r="L57" s="2">
        <v>1.7542300000000001E-3</v>
      </c>
      <c r="M57" s="2">
        <f t="shared" si="3"/>
        <v>1.7542300000000002</v>
      </c>
      <c r="N57" s="2" t="s">
        <v>1363</v>
      </c>
      <c r="O57" s="2" t="s">
        <v>1366</v>
      </c>
      <c r="P57" s="2" t="s">
        <v>1367</v>
      </c>
      <c r="Q57" s="2" t="s">
        <v>1368</v>
      </c>
      <c r="R57" s="2">
        <v>70</v>
      </c>
      <c r="S57" s="2">
        <v>40</v>
      </c>
      <c r="T57" s="2" t="s">
        <v>1364</v>
      </c>
      <c r="U57" s="2" t="s">
        <v>1365</v>
      </c>
      <c r="V57" s="2">
        <v>1E-4</v>
      </c>
      <c r="W57" s="2">
        <v>17</v>
      </c>
      <c r="X57" s="2">
        <v>0</v>
      </c>
    </row>
    <row r="58" spans="1:24" x14ac:dyDescent="0.45">
      <c r="A58" s="2" t="s">
        <v>122</v>
      </c>
      <c r="B58" s="2" t="s">
        <v>211</v>
      </c>
      <c r="C58" s="2">
        <v>0.3</v>
      </c>
      <c r="D58" s="2" t="s">
        <v>125</v>
      </c>
      <c r="E58" s="2">
        <v>6</v>
      </c>
      <c r="F58" s="2" t="s">
        <v>126</v>
      </c>
      <c r="G58" s="2">
        <v>0</v>
      </c>
      <c r="H58" s="2">
        <v>2</v>
      </c>
      <c r="I58" s="2" t="s">
        <v>127</v>
      </c>
      <c r="J58" s="2">
        <v>7.0000000000000001E-3</v>
      </c>
      <c r="K58" s="2">
        <f t="shared" si="2"/>
        <v>7</v>
      </c>
      <c r="L58" s="2">
        <v>1.89123E-3</v>
      </c>
      <c r="M58" s="2">
        <f t="shared" si="3"/>
        <v>1.89123</v>
      </c>
      <c r="N58" s="2" t="s">
        <v>1363</v>
      </c>
      <c r="O58" s="2" t="s">
        <v>1366</v>
      </c>
      <c r="P58" s="2" t="s">
        <v>1367</v>
      </c>
      <c r="Q58" s="2" t="s">
        <v>1368</v>
      </c>
      <c r="R58" s="2">
        <v>70</v>
      </c>
      <c r="S58" s="2">
        <v>40</v>
      </c>
      <c r="T58" s="2" t="s">
        <v>1364</v>
      </c>
      <c r="U58" s="2" t="s">
        <v>1365</v>
      </c>
      <c r="V58" s="2">
        <v>1E-4</v>
      </c>
      <c r="W58" s="2">
        <v>27</v>
      </c>
      <c r="X58" s="2">
        <v>0</v>
      </c>
    </row>
    <row r="59" spans="1:24" x14ac:dyDescent="0.45">
      <c r="A59" s="2" t="s">
        <v>122</v>
      </c>
      <c r="B59" s="2" t="s">
        <v>212</v>
      </c>
      <c r="C59" s="2">
        <v>0.3</v>
      </c>
      <c r="D59" s="2" t="s">
        <v>125</v>
      </c>
      <c r="E59" s="2">
        <v>6</v>
      </c>
      <c r="F59" s="2" t="s">
        <v>126</v>
      </c>
      <c r="G59" s="2">
        <v>0</v>
      </c>
      <c r="H59" s="2">
        <v>2</v>
      </c>
      <c r="I59" s="2" t="s">
        <v>127</v>
      </c>
      <c r="J59" s="2">
        <v>7.0000000000000001E-3</v>
      </c>
      <c r="K59" s="2">
        <f t="shared" si="2"/>
        <v>7</v>
      </c>
      <c r="L59" s="2">
        <v>1.77692E-3</v>
      </c>
      <c r="M59" s="2">
        <f t="shared" si="3"/>
        <v>1.7769200000000001</v>
      </c>
      <c r="N59" s="2" t="s">
        <v>1363</v>
      </c>
      <c r="O59" s="2" t="s">
        <v>1366</v>
      </c>
      <c r="P59" s="2" t="s">
        <v>1367</v>
      </c>
      <c r="Q59" s="2" t="s">
        <v>1368</v>
      </c>
      <c r="R59" s="2">
        <v>70</v>
      </c>
      <c r="S59" s="2">
        <v>40</v>
      </c>
      <c r="T59" s="2" t="s">
        <v>1364</v>
      </c>
      <c r="U59" s="2" t="s">
        <v>1365</v>
      </c>
      <c r="V59" s="2">
        <v>1E-4</v>
      </c>
      <c r="W59" s="2">
        <v>14</v>
      </c>
      <c r="X59" s="2">
        <v>0</v>
      </c>
    </row>
    <row r="60" spans="1:24" x14ac:dyDescent="0.45">
      <c r="A60" s="2" t="s">
        <v>122</v>
      </c>
      <c r="B60" s="2" t="s">
        <v>213</v>
      </c>
      <c r="C60" s="2">
        <v>0.3</v>
      </c>
      <c r="D60" s="2" t="s">
        <v>125</v>
      </c>
      <c r="E60" s="2">
        <v>6</v>
      </c>
      <c r="F60" s="2" t="s">
        <v>126</v>
      </c>
      <c r="G60" s="2">
        <v>0</v>
      </c>
      <c r="H60" s="2">
        <v>2</v>
      </c>
      <c r="I60" s="2" t="s">
        <v>127</v>
      </c>
      <c r="J60" s="2">
        <v>7.0000000000000001E-3</v>
      </c>
      <c r="K60" s="2">
        <f t="shared" si="2"/>
        <v>7</v>
      </c>
      <c r="L60" s="2">
        <v>1.6995199999999999E-3</v>
      </c>
      <c r="M60" s="2">
        <f t="shared" si="3"/>
        <v>1.6995199999999999</v>
      </c>
      <c r="N60" s="2" t="s">
        <v>1363</v>
      </c>
      <c r="O60" s="2" t="s">
        <v>1366</v>
      </c>
      <c r="P60" s="2" t="s">
        <v>1367</v>
      </c>
      <c r="Q60" s="2" t="s">
        <v>1368</v>
      </c>
      <c r="R60" s="2">
        <v>70</v>
      </c>
      <c r="S60" s="2">
        <v>40</v>
      </c>
      <c r="T60" s="2" t="s">
        <v>1364</v>
      </c>
      <c r="U60" s="2" t="s">
        <v>1365</v>
      </c>
      <c r="V60" s="2">
        <v>1E-4</v>
      </c>
      <c r="W60" s="2">
        <v>15</v>
      </c>
      <c r="X60" s="2">
        <v>0</v>
      </c>
    </row>
    <row r="61" spans="1:24" x14ac:dyDescent="0.45">
      <c r="A61" s="2" t="s">
        <v>122</v>
      </c>
      <c r="B61" s="2" t="s">
        <v>214</v>
      </c>
      <c r="C61" s="2">
        <v>0.6</v>
      </c>
      <c r="D61" s="2" t="s">
        <v>215</v>
      </c>
      <c r="E61" s="2">
        <v>6</v>
      </c>
      <c r="F61" s="2" t="s">
        <v>126</v>
      </c>
      <c r="G61" s="2">
        <v>0</v>
      </c>
      <c r="H61" s="2">
        <v>2</v>
      </c>
      <c r="I61" s="2" t="s">
        <v>127</v>
      </c>
      <c r="J61" s="2">
        <v>7.0000000000000001E-3</v>
      </c>
      <c r="K61" s="2">
        <f t="shared" si="2"/>
        <v>7</v>
      </c>
      <c r="L61" s="2">
        <v>3.6730899999999999E-3</v>
      </c>
      <c r="M61" s="2">
        <f t="shared" si="3"/>
        <v>3.6730899999999997</v>
      </c>
      <c r="N61" s="2" t="s">
        <v>1363</v>
      </c>
      <c r="O61" s="2" t="s">
        <v>1366</v>
      </c>
      <c r="P61" s="2" t="s">
        <v>1367</v>
      </c>
      <c r="Q61" s="2" t="s">
        <v>1368</v>
      </c>
      <c r="R61" s="2">
        <v>70</v>
      </c>
      <c r="S61" s="2">
        <v>40</v>
      </c>
      <c r="T61" s="2" t="s">
        <v>1364</v>
      </c>
      <c r="U61" s="2" t="s">
        <v>1365</v>
      </c>
      <c r="V61" s="2">
        <v>1E-4</v>
      </c>
      <c r="W61" s="2">
        <v>12</v>
      </c>
      <c r="X61" s="2">
        <v>1</v>
      </c>
    </row>
    <row r="62" spans="1:24" x14ac:dyDescent="0.45">
      <c r="A62" s="2" t="s">
        <v>122</v>
      </c>
      <c r="B62" s="2" t="s">
        <v>216</v>
      </c>
      <c r="C62" s="2">
        <v>0.6</v>
      </c>
      <c r="D62" s="2" t="s">
        <v>217</v>
      </c>
      <c r="E62" s="2">
        <v>6</v>
      </c>
      <c r="F62" s="2" t="s">
        <v>126</v>
      </c>
      <c r="G62" s="2">
        <v>0</v>
      </c>
      <c r="H62" s="2">
        <v>2</v>
      </c>
      <c r="I62" s="2" t="s">
        <v>127</v>
      </c>
      <c r="J62" s="2">
        <v>7.0000000000000001E-3</v>
      </c>
      <c r="K62" s="2">
        <f t="shared" si="2"/>
        <v>7</v>
      </c>
      <c r="L62" s="2">
        <v>4.2903400000000001E-3</v>
      </c>
      <c r="M62" s="2">
        <f t="shared" si="3"/>
        <v>4.2903400000000005</v>
      </c>
      <c r="N62" s="2" t="s">
        <v>1363</v>
      </c>
      <c r="O62" s="2" t="s">
        <v>1366</v>
      </c>
      <c r="P62" s="2" t="s">
        <v>1367</v>
      </c>
      <c r="Q62" s="2" t="s">
        <v>1368</v>
      </c>
      <c r="R62" s="2">
        <v>70</v>
      </c>
      <c r="S62" s="2">
        <v>40</v>
      </c>
      <c r="T62" s="2" t="s">
        <v>1364</v>
      </c>
      <c r="U62" s="2" t="s">
        <v>1365</v>
      </c>
      <c r="V62" s="2">
        <v>1E-4</v>
      </c>
      <c r="W62" s="2">
        <v>17</v>
      </c>
      <c r="X62" s="2">
        <v>1</v>
      </c>
    </row>
    <row r="63" spans="1:24" x14ac:dyDescent="0.45">
      <c r="A63" s="2" t="s">
        <v>122</v>
      </c>
      <c r="B63" s="2" t="s">
        <v>218</v>
      </c>
      <c r="C63" s="2">
        <v>0.6</v>
      </c>
      <c r="D63" s="2" t="s">
        <v>219</v>
      </c>
      <c r="E63" s="2">
        <v>6</v>
      </c>
      <c r="F63" s="2" t="s">
        <v>126</v>
      </c>
      <c r="G63" s="2">
        <v>0</v>
      </c>
      <c r="H63" s="2">
        <v>2</v>
      </c>
      <c r="I63" s="2" t="s">
        <v>127</v>
      </c>
      <c r="J63" s="2">
        <v>7.0000000000000001E-3</v>
      </c>
      <c r="K63" s="2">
        <f t="shared" si="2"/>
        <v>7</v>
      </c>
      <c r="L63" s="2">
        <v>3.0490000000000001E-3</v>
      </c>
      <c r="M63" s="2">
        <f t="shared" si="3"/>
        <v>3.0489999999999999</v>
      </c>
      <c r="N63" s="2" t="s">
        <v>1363</v>
      </c>
      <c r="O63" s="2" t="s">
        <v>1366</v>
      </c>
      <c r="P63" s="2" t="s">
        <v>1367</v>
      </c>
      <c r="Q63" s="2" t="s">
        <v>1368</v>
      </c>
      <c r="R63" s="2">
        <v>70</v>
      </c>
      <c r="S63" s="2">
        <v>40</v>
      </c>
      <c r="T63" s="2" t="s">
        <v>1364</v>
      </c>
      <c r="U63" s="2" t="s">
        <v>1365</v>
      </c>
      <c r="V63" s="2">
        <v>1E-4</v>
      </c>
      <c r="W63" s="2">
        <v>14</v>
      </c>
      <c r="X63" s="2">
        <v>1</v>
      </c>
    </row>
    <row r="64" spans="1:24" x14ac:dyDescent="0.45">
      <c r="A64" s="2" t="s">
        <v>122</v>
      </c>
      <c r="B64" s="2" t="s">
        <v>220</v>
      </c>
      <c r="C64" s="2">
        <v>0.6</v>
      </c>
      <c r="D64" s="2" t="s">
        <v>221</v>
      </c>
      <c r="E64" s="2">
        <v>6</v>
      </c>
      <c r="F64" s="2" t="s">
        <v>126</v>
      </c>
      <c r="G64" s="2">
        <v>0</v>
      </c>
      <c r="H64" s="2">
        <v>2</v>
      </c>
      <c r="I64" s="2" t="s">
        <v>127</v>
      </c>
      <c r="J64" s="2">
        <v>7.0000000000000001E-3</v>
      </c>
      <c r="K64" s="2">
        <f t="shared" si="2"/>
        <v>7</v>
      </c>
      <c r="L64" s="2">
        <v>5.5209300000000003E-3</v>
      </c>
      <c r="M64" s="2">
        <f t="shared" si="3"/>
        <v>5.5209299999999999</v>
      </c>
      <c r="N64" s="2" t="s">
        <v>1363</v>
      </c>
      <c r="O64" s="2" t="s">
        <v>1366</v>
      </c>
      <c r="P64" s="2" t="s">
        <v>1367</v>
      </c>
      <c r="Q64" s="2" t="s">
        <v>1368</v>
      </c>
      <c r="R64" s="2">
        <v>70</v>
      </c>
      <c r="S64" s="2">
        <v>40</v>
      </c>
      <c r="T64" s="2" t="s">
        <v>1364</v>
      </c>
      <c r="U64" s="2" t="s">
        <v>1365</v>
      </c>
      <c r="V64" s="2">
        <v>1E-4</v>
      </c>
      <c r="W64" s="2">
        <v>15</v>
      </c>
      <c r="X64" s="2">
        <v>1</v>
      </c>
    </row>
    <row r="65" spans="1:24" x14ac:dyDescent="0.45">
      <c r="A65" s="2" t="s">
        <v>122</v>
      </c>
      <c r="B65" s="2" t="s">
        <v>222</v>
      </c>
      <c r="C65" s="2">
        <v>0.3</v>
      </c>
      <c r="D65" s="2" t="s">
        <v>125</v>
      </c>
      <c r="E65" s="2">
        <v>6</v>
      </c>
      <c r="F65" s="2" t="s">
        <v>126</v>
      </c>
      <c r="G65" s="2">
        <v>0</v>
      </c>
      <c r="H65" s="2">
        <v>2</v>
      </c>
      <c r="I65" s="2" t="s">
        <v>127</v>
      </c>
      <c r="J65" s="2">
        <v>7.0000000000000001E-3</v>
      </c>
      <c r="K65" s="2">
        <f t="shared" si="2"/>
        <v>7</v>
      </c>
      <c r="L65" s="2">
        <v>1.8737000000000001E-3</v>
      </c>
      <c r="M65" s="2">
        <f t="shared" si="3"/>
        <v>1.8737000000000001</v>
      </c>
      <c r="N65" s="2" t="s">
        <v>1363</v>
      </c>
      <c r="O65" s="2" t="s">
        <v>1366</v>
      </c>
      <c r="P65" s="2" t="s">
        <v>1367</v>
      </c>
      <c r="Q65" s="2" t="s">
        <v>1368</v>
      </c>
      <c r="R65" s="2">
        <v>70</v>
      </c>
      <c r="S65" s="2">
        <v>40</v>
      </c>
      <c r="T65" s="2" t="s">
        <v>1364</v>
      </c>
      <c r="U65" s="2" t="s">
        <v>1365</v>
      </c>
      <c r="V65" s="2">
        <v>1E-4</v>
      </c>
      <c r="W65" s="2">
        <v>17</v>
      </c>
      <c r="X65" s="2">
        <v>0</v>
      </c>
    </row>
    <row r="66" spans="1:24" x14ac:dyDescent="0.45">
      <c r="A66" s="2" t="s">
        <v>122</v>
      </c>
      <c r="B66" s="2" t="s">
        <v>223</v>
      </c>
      <c r="C66" s="2">
        <v>0.3</v>
      </c>
      <c r="D66" s="2" t="s">
        <v>125</v>
      </c>
      <c r="E66" s="2">
        <v>6</v>
      </c>
      <c r="F66" s="2" t="s">
        <v>126</v>
      </c>
      <c r="G66" s="2">
        <v>0</v>
      </c>
      <c r="H66" s="2">
        <v>2</v>
      </c>
      <c r="I66" s="2" t="s">
        <v>127</v>
      </c>
      <c r="J66" s="2">
        <v>7.0000000000000001E-3</v>
      </c>
      <c r="K66" s="2">
        <f t="shared" ref="K66:K97" si="4">IF(J66="","",J66*1000)</f>
        <v>7</v>
      </c>
      <c r="L66" s="2">
        <v>1.7667399999999999E-3</v>
      </c>
      <c r="M66" s="2">
        <f t="shared" ref="M66:M97" si="5">IF(L66="","",L66*1000)</f>
        <v>1.76674</v>
      </c>
      <c r="N66" s="2" t="s">
        <v>1363</v>
      </c>
      <c r="O66" s="2" t="s">
        <v>1366</v>
      </c>
      <c r="P66" s="2" t="s">
        <v>1367</v>
      </c>
      <c r="Q66" s="2" t="s">
        <v>1368</v>
      </c>
      <c r="R66" s="2">
        <v>70</v>
      </c>
      <c r="S66" s="2">
        <v>40</v>
      </c>
      <c r="T66" s="2" t="s">
        <v>1364</v>
      </c>
      <c r="U66" s="2" t="s">
        <v>1365</v>
      </c>
      <c r="V66" s="2">
        <v>1E-4</v>
      </c>
      <c r="W66" s="2">
        <v>14</v>
      </c>
      <c r="X66" s="2">
        <v>0</v>
      </c>
    </row>
    <row r="67" spans="1:24" x14ac:dyDescent="0.45">
      <c r="A67" s="2" t="s">
        <v>224</v>
      </c>
      <c r="B67" s="2" t="s">
        <v>146</v>
      </c>
      <c r="C67" s="2">
        <v>0</v>
      </c>
      <c r="D67" s="2" t="s">
        <v>125</v>
      </c>
      <c r="E67" s="2">
        <v>6</v>
      </c>
      <c r="F67" s="2" t="s">
        <v>126</v>
      </c>
      <c r="G67" s="2">
        <v>0</v>
      </c>
      <c r="H67" s="2">
        <v>2</v>
      </c>
      <c r="I67" s="2" t="s">
        <v>127</v>
      </c>
      <c r="J67" s="2">
        <v>0</v>
      </c>
      <c r="K67" s="2">
        <f t="shared" si="4"/>
        <v>0</v>
      </c>
      <c r="L67" s="2">
        <v>8.0000000000000002E-3</v>
      </c>
      <c r="M67" s="2">
        <f t="shared" si="5"/>
        <v>8</v>
      </c>
      <c r="N67" s="2" t="s">
        <v>1363</v>
      </c>
      <c r="O67" s="2" t="s">
        <v>1366</v>
      </c>
      <c r="P67" s="2" t="s">
        <v>1367</v>
      </c>
      <c r="Q67" s="2" t="s">
        <v>1368</v>
      </c>
      <c r="R67" s="2">
        <v>100</v>
      </c>
      <c r="S67" s="2">
        <v>0</v>
      </c>
      <c r="T67" s="2" t="s">
        <v>1364</v>
      </c>
      <c r="U67" s="2" t="s">
        <v>1365</v>
      </c>
      <c r="V67" s="2">
        <v>1E-4</v>
      </c>
      <c r="W67" s="2">
        <v>18</v>
      </c>
      <c r="X67" s="2">
        <v>0</v>
      </c>
    </row>
    <row r="68" spans="1:24" x14ac:dyDescent="0.45">
      <c r="A68" s="2" t="s">
        <v>224</v>
      </c>
      <c r="B68" s="2" t="s">
        <v>150</v>
      </c>
      <c r="C68" s="2">
        <v>0</v>
      </c>
      <c r="D68" s="2" t="s">
        <v>125</v>
      </c>
      <c r="E68" s="2">
        <v>6</v>
      </c>
      <c r="F68" s="2" t="s">
        <v>126</v>
      </c>
      <c r="G68" s="2">
        <v>0</v>
      </c>
      <c r="H68" s="2">
        <v>2</v>
      </c>
      <c r="I68" s="2" t="s">
        <v>127</v>
      </c>
      <c r="J68" s="2">
        <v>0</v>
      </c>
      <c r="K68" s="2">
        <f t="shared" si="4"/>
        <v>0</v>
      </c>
      <c r="L68" s="2">
        <v>1E-3</v>
      </c>
      <c r="M68" s="2">
        <f t="shared" si="5"/>
        <v>1</v>
      </c>
      <c r="N68" s="2" t="s">
        <v>1363</v>
      </c>
      <c r="O68" s="2" t="s">
        <v>154</v>
      </c>
      <c r="P68" s="2" t="s">
        <v>154</v>
      </c>
      <c r="Q68" s="2" t="s">
        <v>154</v>
      </c>
      <c r="R68" s="2">
        <v>70</v>
      </c>
      <c r="S68" s="2">
        <v>40</v>
      </c>
      <c r="T68" s="2" t="s">
        <v>1364</v>
      </c>
      <c r="U68" s="2" t="s">
        <v>1365</v>
      </c>
      <c r="V68" s="2">
        <v>1E-4</v>
      </c>
      <c r="W68" s="2">
        <v>20</v>
      </c>
      <c r="X68" s="2">
        <v>0</v>
      </c>
    </row>
    <row r="69" spans="1:24" x14ac:dyDescent="0.45">
      <c r="A69" s="2" t="s">
        <v>224</v>
      </c>
      <c r="B69" s="2" t="s">
        <v>151</v>
      </c>
      <c r="C69" s="2">
        <v>0</v>
      </c>
      <c r="D69" s="2" t="s">
        <v>125</v>
      </c>
      <c r="E69" s="2">
        <v>6</v>
      </c>
      <c r="F69" s="2" t="s">
        <v>154</v>
      </c>
      <c r="G69" s="2">
        <v>0</v>
      </c>
      <c r="H69" s="2">
        <v>0</v>
      </c>
      <c r="I69" s="2" t="s">
        <v>154</v>
      </c>
      <c r="J69" s="2">
        <v>0</v>
      </c>
      <c r="K69" s="2">
        <f t="shared" si="4"/>
        <v>0</v>
      </c>
      <c r="L69" s="2">
        <v>0</v>
      </c>
      <c r="M69" s="2">
        <f t="shared" si="5"/>
        <v>0</v>
      </c>
      <c r="N69" s="2" t="s">
        <v>1363</v>
      </c>
      <c r="O69" s="2" t="s">
        <v>154</v>
      </c>
      <c r="P69" s="2" t="s">
        <v>154</v>
      </c>
      <c r="Q69" s="2" t="s">
        <v>154</v>
      </c>
      <c r="R69" s="2">
        <v>70</v>
      </c>
      <c r="S69" s="2">
        <v>40</v>
      </c>
      <c r="T69" s="2" t="s">
        <v>1364</v>
      </c>
      <c r="U69" s="2" t="s">
        <v>1365</v>
      </c>
      <c r="V69" s="2">
        <v>1E-4</v>
      </c>
      <c r="W69" s="2">
        <v>35</v>
      </c>
      <c r="X69" s="2">
        <v>0</v>
      </c>
    </row>
    <row r="70" spans="1:24" x14ac:dyDescent="0.45">
      <c r="A70" s="2" t="s">
        <v>224</v>
      </c>
      <c r="B70" s="2" t="s">
        <v>153</v>
      </c>
      <c r="C70" s="2">
        <v>0</v>
      </c>
      <c r="D70" s="2" t="s">
        <v>125</v>
      </c>
      <c r="E70" s="2">
        <v>6</v>
      </c>
      <c r="F70" s="2" t="s">
        <v>126</v>
      </c>
      <c r="G70" s="2">
        <v>0</v>
      </c>
      <c r="H70" s="2">
        <v>2</v>
      </c>
      <c r="I70" s="2" t="s">
        <v>127</v>
      </c>
      <c r="J70" s="2">
        <v>0</v>
      </c>
      <c r="K70" s="2">
        <f t="shared" si="4"/>
        <v>0</v>
      </c>
      <c r="L70" s="2">
        <v>0</v>
      </c>
      <c r="M70" s="2">
        <f t="shared" si="5"/>
        <v>0</v>
      </c>
      <c r="N70" s="2" t="s">
        <v>1363</v>
      </c>
      <c r="O70" s="2" t="s">
        <v>154</v>
      </c>
      <c r="P70" s="2" t="s">
        <v>154</v>
      </c>
      <c r="Q70" s="2" t="s">
        <v>154</v>
      </c>
      <c r="R70" s="2">
        <v>70</v>
      </c>
      <c r="S70" s="2">
        <v>40</v>
      </c>
      <c r="T70" s="2" t="s">
        <v>1364</v>
      </c>
      <c r="U70" s="2" t="s">
        <v>1365</v>
      </c>
      <c r="V70" s="2">
        <v>1E-4</v>
      </c>
      <c r="W70" s="2">
        <v>8</v>
      </c>
      <c r="X70" s="2">
        <v>0</v>
      </c>
    </row>
    <row r="71" spans="1:24" x14ac:dyDescent="0.45">
      <c r="A71" s="2" t="s">
        <v>224</v>
      </c>
      <c r="B71" s="2" t="s">
        <v>155</v>
      </c>
      <c r="C71" s="2">
        <v>0</v>
      </c>
      <c r="D71" s="2" t="s">
        <v>125</v>
      </c>
      <c r="E71" s="2">
        <v>6</v>
      </c>
      <c r="F71" s="2" t="s">
        <v>148</v>
      </c>
      <c r="G71" s="2">
        <v>0</v>
      </c>
      <c r="H71" s="2">
        <v>2</v>
      </c>
      <c r="I71" s="2" t="s">
        <v>127</v>
      </c>
      <c r="J71" s="2">
        <v>0</v>
      </c>
      <c r="K71" s="2">
        <f t="shared" si="4"/>
        <v>0</v>
      </c>
      <c r="L71" s="2">
        <v>0</v>
      </c>
      <c r="M71" s="2">
        <f t="shared" si="5"/>
        <v>0</v>
      </c>
      <c r="N71" s="2" t="s">
        <v>1363</v>
      </c>
      <c r="O71" s="2" t="s">
        <v>154</v>
      </c>
      <c r="P71" s="2" t="s">
        <v>154</v>
      </c>
      <c r="Q71" s="2" t="s">
        <v>154</v>
      </c>
      <c r="R71" s="2">
        <v>70</v>
      </c>
      <c r="S71" s="2">
        <v>40</v>
      </c>
      <c r="T71" s="2" t="s">
        <v>1364</v>
      </c>
      <c r="U71" s="2" t="s">
        <v>1365</v>
      </c>
      <c r="V71" s="2">
        <v>1E-4</v>
      </c>
      <c r="W71" s="2">
        <v>24</v>
      </c>
      <c r="X71" s="2">
        <v>0</v>
      </c>
    </row>
    <row r="72" spans="1:24" x14ac:dyDescent="0.45">
      <c r="A72" s="2" t="s">
        <v>224</v>
      </c>
      <c r="B72" s="2" t="s">
        <v>156</v>
      </c>
      <c r="C72" s="2">
        <v>0</v>
      </c>
      <c r="D72" s="2" t="s">
        <v>125</v>
      </c>
      <c r="E72" s="2">
        <v>6</v>
      </c>
      <c r="F72" s="2" t="s">
        <v>154</v>
      </c>
      <c r="G72" s="2">
        <v>0</v>
      </c>
      <c r="H72" s="2">
        <v>0</v>
      </c>
      <c r="I72" s="2" t="s">
        <v>154</v>
      </c>
      <c r="J72" s="2">
        <v>0</v>
      </c>
      <c r="K72" s="2">
        <f t="shared" si="4"/>
        <v>0</v>
      </c>
      <c r="L72" s="2">
        <v>1E-3</v>
      </c>
      <c r="M72" s="2">
        <f t="shared" si="5"/>
        <v>1</v>
      </c>
      <c r="N72" s="2" t="s">
        <v>1363</v>
      </c>
      <c r="O72" s="2" t="s">
        <v>1366</v>
      </c>
      <c r="P72" s="2" t="s">
        <v>1367</v>
      </c>
      <c r="Q72" s="2" t="s">
        <v>1368</v>
      </c>
      <c r="R72" s="2">
        <v>70</v>
      </c>
      <c r="S72" s="2">
        <v>40</v>
      </c>
      <c r="T72" s="2" t="s">
        <v>1364</v>
      </c>
      <c r="U72" s="2" t="s">
        <v>1365</v>
      </c>
      <c r="V72" s="2">
        <v>1E-4</v>
      </c>
      <c r="W72" s="2">
        <v>7</v>
      </c>
      <c r="X72" s="2">
        <v>1</v>
      </c>
    </row>
    <row r="73" spans="1:24" x14ac:dyDescent="0.45">
      <c r="A73" s="2" t="s">
        <v>224</v>
      </c>
      <c r="B73" s="2" t="s">
        <v>157</v>
      </c>
      <c r="C73" s="2">
        <v>0</v>
      </c>
      <c r="D73" s="2" t="s">
        <v>226</v>
      </c>
      <c r="E73" s="2">
        <v>6</v>
      </c>
      <c r="F73" s="2" t="s">
        <v>126</v>
      </c>
      <c r="G73" s="2">
        <v>0</v>
      </c>
      <c r="H73" s="2">
        <v>2</v>
      </c>
      <c r="I73" s="2" t="s">
        <v>127</v>
      </c>
      <c r="J73" s="2">
        <v>0</v>
      </c>
      <c r="K73" s="2">
        <f t="shared" si="4"/>
        <v>0</v>
      </c>
      <c r="L73" s="2">
        <v>0</v>
      </c>
      <c r="M73" s="2">
        <f t="shared" si="5"/>
        <v>0</v>
      </c>
      <c r="N73" s="2" t="s">
        <v>1363</v>
      </c>
      <c r="O73" s="2" t="s">
        <v>154</v>
      </c>
      <c r="P73" s="2" t="s">
        <v>154</v>
      </c>
      <c r="Q73" s="2" t="s">
        <v>154</v>
      </c>
      <c r="R73" s="2">
        <v>100</v>
      </c>
      <c r="S73" s="2">
        <v>0</v>
      </c>
      <c r="T73" s="2" t="s">
        <v>1364</v>
      </c>
      <c r="U73" s="2" t="s">
        <v>1365</v>
      </c>
      <c r="V73" s="2">
        <v>1E-4</v>
      </c>
      <c r="W73" s="2">
        <v>9</v>
      </c>
      <c r="X73" s="2">
        <v>0</v>
      </c>
    </row>
    <row r="74" spans="1:24" x14ac:dyDescent="0.45">
      <c r="A74" s="2" t="s">
        <v>224</v>
      </c>
      <c r="B74" s="2" t="s">
        <v>158</v>
      </c>
      <c r="C74" s="2">
        <v>0</v>
      </c>
      <c r="D74" s="2" t="s">
        <v>125</v>
      </c>
      <c r="E74" s="2">
        <v>6</v>
      </c>
      <c r="F74" s="2" t="s">
        <v>154</v>
      </c>
      <c r="G74" s="2">
        <v>0</v>
      </c>
      <c r="H74" s="2">
        <v>0</v>
      </c>
      <c r="I74" s="2" t="s">
        <v>154</v>
      </c>
      <c r="J74" s="2">
        <v>0</v>
      </c>
      <c r="K74" s="2">
        <f t="shared" si="4"/>
        <v>0</v>
      </c>
      <c r="L74" s="2">
        <v>0</v>
      </c>
      <c r="M74" s="2">
        <f t="shared" si="5"/>
        <v>0</v>
      </c>
      <c r="N74" s="2" t="s">
        <v>1363</v>
      </c>
      <c r="O74" s="2" t="s">
        <v>154</v>
      </c>
      <c r="P74" s="2" t="s">
        <v>154</v>
      </c>
      <c r="Q74" s="2" t="s">
        <v>154</v>
      </c>
      <c r="R74" s="2">
        <v>70</v>
      </c>
      <c r="S74" s="2">
        <v>40</v>
      </c>
      <c r="T74" s="2" t="s">
        <v>1364</v>
      </c>
      <c r="U74" s="2" t="s">
        <v>1365</v>
      </c>
      <c r="V74" s="2">
        <v>1E-4</v>
      </c>
      <c r="W74" s="2">
        <v>33</v>
      </c>
      <c r="X74" s="2">
        <v>0</v>
      </c>
    </row>
    <row r="75" spans="1:24" x14ac:dyDescent="0.45">
      <c r="A75" s="2" t="s">
        <v>224</v>
      </c>
      <c r="B75" s="2" t="s">
        <v>159</v>
      </c>
      <c r="C75" s="2">
        <v>0</v>
      </c>
      <c r="D75" s="2" t="s">
        <v>125</v>
      </c>
      <c r="E75" s="2">
        <v>6</v>
      </c>
      <c r="F75" s="2" t="s">
        <v>148</v>
      </c>
      <c r="G75" s="2">
        <v>0</v>
      </c>
      <c r="H75" s="2">
        <v>0</v>
      </c>
      <c r="I75" s="2" t="s">
        <v>149</v>
      </c>
      <c r="J75" s="2">
        <v>0</v>
      </c>
      <c r="K75" s="2">
        <f t="shared" si="4"/>
        <v>0</v>
      </c>
      <c r="L75" s="2">
        <v>1E-3</v>
      </c>
      <c r="M75" s="2">
        <f t="shared" si="5"/>
        <v>1</v>
      </c>
      <c r="N75" s="2" t="s">
        <v>1363</v>
      </c>
      <c r="O75" s="2" t="s">
        <v>1366</v>
      </c>
      <c r="P75" s="2" t="s">
        <v>1367</v>
      </c>
      <c r="Q75" s="2" t="s">
        <v>1368</v>
      </c>
      <c r="R75" s="2">
        <v>70</v>
      </c>
      <c r="S75" s="2">
        <v>40</v>
      </c>
      <c r="T75" s="2" t="s">
        <v>1364</v>
      </c>
      <c r="U75" s="2" t="s">
        <v>1365</v>
      </c>
      <c r="V75" s="2">
        <v>1E-4</v>
      </c>
      <c r="W75" s="2">
        <v>66</v>
      </c>
      <c r="X75" s="2">
        <v>4</v>
      </c>
    </row>
    <row r="76" spans="1:24" x14ac:dyDescent="0.45">
      <c r="A76" s="2" t="s">
        <v>224</v>
      </c>
      <c r="B76" s="2" t="s">
        <v>160</v>
      </c>
      <c r="C76" s="2">
        <v>0</v>
      </c>
      <c r="D76" s="2" t="s">
        <v>125</v>
      </c>
      <c r="E76" s="2">
        <v>6</v>
      </c>
      <c r="F76" s="2" t="s">
        <v>126</v>
      </c>
      <c r="G76" s="2">
        <v>0</v>
      </c>
      <c r="H76" s="2">
        <v>0</v>
      </c>
      <c r="I76" s="2" t="s">
        <v>149</v>
      </c>
      <c r="J76" s="2">
        <v>0</v>
      </c>
      <c r="K76" s="2">
        <f t="shared" si="4"/>
        <v>0</v>
      </c>
      <c r="L76" s="2">
        <v>8.0000000000000002E-3</v>
      </c>
      <c r="M76" s="2">
        <f t="shared" si="5"/>
        <v>8</v>
      </c>
      <c r="N76" s="2" t="s">
        <v>1363</v>
      </c>
      <c r="O76" s="2" t="s">
        <v>1366</v>
      </c>
      <c r="P76" s="2" t="s">
        <v>1367</v>
      </c>
      <c r="Q76" s="2" t="s">
        <v>1368</v>
      </c>
      <c r="R76" s="2">
        <v>70</v>
      </c>
      <c r="S76" s="2">
        <v>40</v>
      </c>
      <c r="T76" s="2" t="s">
        <v>1364</v>
      </c>
      <c r="U76" s="2" t="s">
        <v>1365</v>
      </c>
      <c r="V76" s="2">
        <v>1E-4</v>
      </c>
      <c r="W76" s="2">
        <v>31</v>
      </c>
      <c r="X76" s="2">
        <v>0</v>
      </c>
    </row>
    <row r="77" spans="1:24" x14ac:dyDescent="0.45">
      <c r="A77" s="2" t="s">
        <v>224</v>
      </c>
      <c r="B77" s="2" t="s">
        <v>162</v>
      </c>
      <c r="C77" s="2">
        <v>0</v>
      </c>
      <c r="D77" s="2" t="s">
        <v>125</v>
      </c>
      <c r="E77" s="2">
        <v>6</v>
      </c>
      <c r="F77" s="2" t="s">
        <v>154</v>
      </c>
      <c r="G77" s="2">
        <v>0</v>
      </c>
      <c r="H77" s="2">
        <v>0</v>
      </c>
      <c r="I77" s="2" t="s">
        <v>154</v>
      </c>
      <c r="J77" s="2">
        <v>0</v>
      </c>
      <c r="K77" s="2">
        <f t="shared" si="4"/>
        <v>0</v>
      </c>
      <c r="L77" s="2">
        <v>1E-3</v>
      </c>
      <c r="M77" s="2">
        <f t="shared" si="5"/>
        <v>1</v>
      </c>
      <c r="N77" s="2" t="s">
        <v>1363</v>
      </c>
      <c r="O77" s="2" t="s">
        <v>154</v>
      </c>
      <c r="P77" s="2" t="s">
        <v>154</v>
      </c>
      <c r="Q77" s="2" t="s">
        <v>154</v>
      </c>
      <c r="R77" s="2">
        <v>70</v>
      </c>
      <c r="S77" s="2">
        <v>40</v>
      </c>
      <c r="T77" s="2" t="s">
        <v>1364</v>
      </c>
      <c r="U77" s="2" t="s">
        <v>1365</v>
      </c>
      <c r="V77" s="2">
        <v>1E-4</v>
      </c>
      <c r="W77" s="2">
        <v>15</v>
      </c>
      <c r="X77" s="2">
        <v>0</v>
      </c>
    </row>
    <row r="78" spans="1:24" x14ac:dyDescent="0.45">
      <c r="A78" s="2" t="s">
        <v>224</v>
      </c>
      <c r="B78" s="2" t="s">
        <v>163</v>
      </c>
      <c r="C78" s="2">
        <v>0</v>
      </c>
      <c r="D78" s="2" t="s">
        <v>125</v>
      </c>
      <c r="E78" s="2">
        <v>6</v>
      </c>
      <c r="F78" s="2" t="s">
        <v>154</v>
      </c>
      <c r="G78" s="2">
        <v>0</v>
      </c>
      <c r="H78" s="2">
        <v>0</v>
      </c>
      <c r="I78" s="2" t="s">
        <v>154</v>
      </c>
      <c r="J78" s="2">
        <v>0</v>
      </c>
      <c r="K78" s="2">
        <f t="shared" si="4"/>
        <v>0</v>
      </c>
      <c r="L78" s="2">
        <v>0</v>
      </c>
      <c r="M78" s="2">
        <f t="shared" si="5"/>
        <v>0</v>
      </c>
      <c r="N78" s="2" t="s">
        <v>1363</v>
      </c>
      <c r="O78" s="2" t="s">
        <v>154</v>
      </c>
      <c r="P78" s="2" t="s">
        <v>154</v>
      </c>
      <c r="Q78" s="2" t="s">
        <v>154</v>
      </c>
      <c r="R78" s="2">
        <v>70</v>
      </c>
      <c r="S78" s="2">
        <v>40</v>
      </c>
      <c r="T78" s="2" t="s">
        <v>1364</v>
      </c>
      <c r="U78" s="2" t="s">
        <v>1365</v>
      </c>
      <c r="V78" s="2">
        <v>1E-4</v>
      </c>
      <c r="W78" s="2">
        <v>68</v>
      </c>
      <c r="X78" s="2">
        <v>6</v>
      </c>
    </row>
    <row r="79" spans="1:24" x14ac:dyDescent="0.45">
      <c r="A79" s="2" t="s">
        <v>224</v>
      </c>
      <c r="B79" s="2" t="s">
        <v>227</v>
      </c>
      <c r="C79" s="2">
        <v>0.8</v>
      </c>
      <c r="D79" s="2" t="s">
        <v>125</v>
      </c>
      <c r="E79" s="2">
        <v>6</v>
      </c>
      <c r="F79" s="2" t="s">
        <v>126</v>
      </c>
      <c r="G79" s="2">
        <v>0</v>
      </c>
      <c r="H79" s="2">
        <v>0</v>
      </c>
      <c r="I79" s="2" t="s">
        <v>149</v>
      </c>
      <c r="J79" s="2">
        <v>7.0000000000000001E-3</v>
      </c>
      <c r="K79" s="2">
        <f t="shared" si="4"/>
        <v>7</v>
      </c>
      <c r="L79" s="2">
        <v>4.8112800000000002E-3</v>
      </c>
      <c r="M79" s="2">
        <f t="shared" si="5"/>
        <v>4.81128</v>
      </c>
      <c r="N79" s="2" t="s">
        <v>1363</v>
      </c>
      <c r="O79" s="2" t="s">
        <v>1366</v>
      </c>
      <c r="P79" s="2" t="s">
        <v>1367</v>
      </c>
      <c r="Q79" s="2" t="s">
        <v>1368</v>
      </c>
      <c r="R79" s="2">
        <v>70</v>
      </c>
      <c r="S79" s="2">
        <v>40</v>
      </c>
      <c r="T79" s="2" t="s">
        <v>1364</v>
      </c>
      <c r="U79" s="2" t="s">
        <v>1365</v>
      </c>
      <c r="V79" s="2">
        <v>1E-4</v>
      </c>
      <c r="W79" s="2">
        <v>9</v>
      </c>
      <c r="X79" s="2">
        <v>3</v>
      </c>
    </row>
    <row r="80" spans="1:24" x14ac:dyDescent="0.45">
      <c r="A80" s="2" t="s">
        <v>224</v>
      </c>
      <c r="B80" s="2" t="s">
        <v>168</v>
      </c>
      <c r="C80" s="2">
        <v>0</v>
      </c>
      <c r="D80" s="2" t="s">
        <v>125</v>
      </c>
      <c r="E80" s="2">
        <v>6</v>
      </c>
      <c r="F80" s="2" t="s">
        <v>148</v>
      </c>
      <c r="G80" s="2">
        <v>0</v>
      </c>
      <c r="H80" s="2">
        <v>0</v>
      </c>
      <c r="I80" s="2" t="s">
        <v>149</v>
      </c>
      <c r="J80" s="2">
        <v>0</v>
      </c>
      <c r="K80" s="2">
        <f t="shared" si="4"/>
        <v>0</v>
      </c>
      <c r="L80" s="2">
        <v>0</v>
      </c>
      <c r="M80" s="2">
        <f t="shared" si="5"/>
        <v>0</v>
      </c>
      <c r="N80" s="2" t="s">
        <v>1363</v>
      </c>
      <c r="O80" s="2" t="s">
        <v>1366</v>
      </c>
      <c r="P80" s="2" t="s">
        <v>1367</v>
      </c>
      <c r="Q80" s="2" t="s">
        <v>1368</v>
      </c>
      <c r="R80" s="2">
        <v>70</v>
      </c>
      <c r="S80" s="2">
        <v>40</v>
      </c>
      <c r="T80" s="2" t="s">
        <v>1364</v>
      </c>
      <c r="U80" s="2" t="s">
        <v>1365</v>
      </c>
      <c r="V80" s="2">
        <v>1E-4</v>
      </c>
      <c r="W80" s="2">
        <v>12</v>
      </c>
      <c r="X80" s="2">
        <v>0</v>
      </c>
    </row>
    <row r="81" spans="1:24" x14ac:dyDescent="0.45">
      <c r="A81" s="2" t="s">
        <v>224</v>
      </c>
      <c r="B81" s="2" t="s">
        <v>169</v>
      </c>
      <c r="C81" s="2">
        <v>0.3</v>
      </c>
      <c r="D81" s="2" t="s">
        <v>125</v>
      </c>
      <c r="E81" s="2">
        <v>6</v>
      </c>
      <c r="F81" s="2" t="s">
        <v>148</v>
      </c>
      <c r="G81" s="2">
        <v>0</v>
      </c>
      <c r="H81" s="2">
        <v>0</v>
      </c>
      <c r="I81" s="2" t="s">
        <v>149</v>
      </c>
      <c r="J81" s="2">
        <v>7.0000000000000001E-3</v>
      </c>
      <c r="K81" s="2">
        <f t="shared" si="4"/>
        <v>7</v>
      </c>
      <c r="L81" s="2">
        <v>1.83147E-3</v>
      </c>
      <c r="M81" s="2">
        <f t="shared" si="5"/>
        <v>1.8314699999999999</v>
      </c>
      <c r="N81" s="2" t="s">
        <v>1363</v>
      </c>
      <c r="O81" s="2" t="s">
        <v>1366</v>
      </c>
      <c r="P81" s="2" t="s">
        <v>1367</v>
      </c>
      <c r="Q81" s="2" t="s">
        <v>1368</v>
      </c>
      <c r="R81" s="2">
        <v>70</v>
      </c>
      <c r="S81" s="2">
        <v>40</v>
      </c>
      <c r="T81" s="2" t="s">
        <v>1364</v>
      </c>
      <c r="U81" s="2" t="s">
        <v>1365</v>
      </c>
      <c r="V81" s="2">
        <v>1E-4</v>
      </c>
      <c r="W81" s="2">
        <v>13</v>
      </c>
      <c r="X81" s="2">
        <v>1</v>
      </c>
    </row>
    <row r="82" spans="1:24" x14ac:dyDescent="0.45">
      <c r="A82" s="2" t="s">
        <v>224</v>
      </c>
      <c r="B82" s="2" t="s">
        <v>170</v>
      </c>
      <c r="C82" s="2">
        <v>0.6</v>
      </c>
      <c r="D82" s="2" t="s">
        <v>229</v>
      </c>
      <c r="E82" s="2">
        <v>6</v>
      </c>
      <c r="F82" s="2" t="s">
        <v>230</v>
      </c>
      <c r="G82" s="2">
        <v>0</v>
      </c>
      <c r="H82" s="2">
        <v>10</v>
      </c>
      <c r="I82" s="2" t="s">
        <v>231</v>
      </c>
      <c r="J82" s="2">
        <v>7.0000000000000001E-3</v>
      </c>
      <c r="K82" s="2">
        <f t="shared" si="4"/>
        <v>7</v>
      </c>
      <c r="L82" s="2">
        <v>3.3027E-3</v>
      </c>
      <c r="M82" s="2">
        <f t="shared" si="5"/>
        <v>3.3027000000000002</v>
      </c>
      <c r="N82" s="2" t="s">
        <v>1363</v>
      </c>
      <c r="O82" s="2" t="s">
        <v>1366</v>
      </c>
      <c r="P82" s="2" t="s">
        <v>1367</v>
      </c>
      <c r="Q82" s="2" t="s">
        <v>1368</v>
      </c>
      <c r="R82" s="2">
        <v>70</v>
      </c>
      <c r="S82" s="2">
        <v>40</v>
      </c>
      <c r="T82" s="2" t="s">
        <v>1364</v>
      </c>
      <c r="U82" s="2" t="s">
        <v>1365</v>
      </c>
      <c r="V82" s="2">
        <v>1E-4</v>
      </c>
      <c r="W82" s="2">
        <v>8</v>
      </c>
      <c r="X82" s="2">
        <v>1</v>
      </c>
    </row>
    <row r="83" spans="1:24" x14ac:dyDescent="0.45">
      <c r="A83" s="2" t="s">
        <v>224</v>
      </c>
      <c r="B83" s="2" t="s">
        <v>172</v>
      </c>
      <c r="C83" s="2">
        <v>0.6</v>
      </c>
      <c r="D83" s="2" t="s">
        <v>232</v>
      </c>
      <c r="E83" s="2">
        <v>6</v>
      </c>
      <c r="F83" s="2" t="s">
        <v>233</v>
      </c>
      <c r="G83" s="2">
        <v>0</v>
      </c>
      <c r="H83" s="2">
        <v>10</v>
      </c>
      <c r="I83" s="2" t="s">
        <v>234</v>
      </c>
      <c r="J83" s="2">
        <v>7.0000000000000001E-3</v>
      </c>
      <c r="K83" s="2">
        <f t="shared" si="4"/>
        <v>7</v>
      </c>
      <c r="L83" s="2">
        <v>1.44286E-3</v>
      </c>
      <c r="M83" s="2">
        <f t="shared" si="5"/>
        <v>1.44286</v>
      </c>
      <c r="N83" s="2" t="s">
        <v>1363</v>
      </c>
      <c r="O83" s="2" t="s">
        <v>1366</v>
      </c>
      <c r="P83" s="2" t="s">
        <v>1367</v>
      </c>
      <c r="Q83" s="2" t="s">
        <v>1368</v>
      </c>
      <c r="R83" s="2">
        <v>70</v>
      </c>
      <c r="S83" s="2">
        <v>40</v>
      </c>
      <c r="T83" s="2" t="s">
        <v>1364</v>
      </c>
      <c r="U83" s="2" t="s">
        <v>1365</v>
      </c>
      <c r="V83" s="2">
        <v>1E-4</v>
      </c>
      <c r="W83" s="2">
        <v>7</v>
      </c>
      <c r="X83" s="2">
        <v>3</v>
      </c>
    </row>
    <row r="84" spans="1:24" x14ac:dyDescent="0.45">
      <c r="A84" s="2" t="s">
        <v>224</v>
      </c>
      <c r="B84" s="2" t="s">
        <v>174</v>
      </c>
      <c r="C84" s="2">
        <v>0</v>
      </c>
      <c r="D84" s="2" t="s">
        <v>125</v>
      </c>
      <c r="E84" s="2">
        <v>6</v>
      </c>
      <c r="F84" s="2" t="s">
        <v>126</v>
      </c>
      <c r="G84" s="2">
        <v>0</v>
      </c>
      <c r="H84" s="2">
        <v>2</v>
      </c>
      <c r="I84" s="2" t="s">
        <v>127</v>
      </c>
      <c r="J84" s="2">
        <v>0</v>
      </c>
      <c r="K84" s="2">
        <f t="shared" si="4"/>
        <v>0</v>
      </c>
      <c r="L84" s="2">
        <v>0</v>
      </c>
      <c r="M84" s="2">
        <f t="shared" si="5"/>
        <v>0</v>
      </c>
      <c r="N84" s="2" t="s">
        <v>1363</v>
      </c>
      <c r="O84" s="2" t="s">
        <v>1366</v>
      </c>
      <c r="P84" s="2" t="s">
        <v>1367</v>
      </c>
      <c r="Q84" s="2" t="s">
        <v>1368</v>
      </c>
      <c r="R84" s="2">
        <v>70</v>
      </c>
      <c r="S84" s="2">
        <v>40</v>
      </c>
      <c r="T84" s="2" t="s">
        <v>1364</v>
      </c>
      <c r="U84" s="2" t="s">
        <v>1365</v>
      </c>
      <c r="V84" s="2">
        <v>1E-4</v>
      </c>
      <c r="W84" s="2">
        <v>6</v>
      </c>
      <c r="X84" s="2">
        <v>0</v>
      </c>
    </row>
    <row r="85" spans="1:24" x14ac:dyDescent="0.45">
      <c r="A85" s="2" t="s">
        <v>224</v>
      </c>
      <c r="B85" s="2" t="s">
        <v>175</v>
      </c>
      <c r="C85" s="2">
        <v>0.6</v>
      </c>
      <c r="D85" s="2" t="s">
        <v>235</v>
      </c>
      <c r="E85" s="2">
        <v>6</v>
      </c>
      <c r="F85" s="2" t="s">
        <v>236</v>
      </c>
      <c r="G85" s="2">
        <v>0</v>
      </c>
      <c r="H85" s="2">
        <v>10</v>
      </c>
      <c r="I85" s="2" t="s">
        <v>237</v>
      </c>
      <c r="J85" s="2">
        <v>7.0000000000000001E-3</v>
      </c>
      <c r="K85" s="2">
        <f t="shared" si="4"/>
        <v>7</v>
      </c>
      <c r="L85" s="2">
        <v>2.9710800000000001E-3</v>
      </c>
      <c r="M85" s="2">
        <f t="shared" si="5"/>
        <v>2.9710800000000002</v>
      </c>
      <c r="N85" s="2" t="s">
        <v>1363</v>
      </c>
      <c r="O85" s="2" t="s">
        <v>1366</v>
      </c>
      <c r="P85" s="2" t="s">
        <v>1367</v>
      </c>
      <c r="Q85" s="2" t="s">
        <v>1368</v>
      </c>
      <c r="R85" s="2">
        <v>70</v>
      </c>
      <c r="S85" s="2">
        <v>40</v>
      </c>
      <c r="T85" s="2" t="s">
        <v>1364</v>
      </c>
      <c r="U85" s="2" t="s">
        <v>1365</v>
      </c>
      <c r="V85" s="2">
        <v>1E-4</v>
      </c>
      <c r="W85" s="2">
        <v>17</v>
      </c>
      <c r="X85" s="2">
        <v>2</v>
      </c>
    </row>
    <row r="86" spans="1:24" x14ac:dyDescent="0.45">
      <c r="A86" s="2" t="s">
        <v>224</v>
      </c>
      <c r="B86" s="2" t="s">
        <v>176</v>
      </c>
      <c r="C86" s="2">
        <v>0.6</v>
      </c>
      <c r="D86" s="2" t="s">
        <v>226</v>
      </c>
      <c r="E86" s="2">
        <v>6</v>
      </c>
      <c r="F86" s="2" t="s">
        <v>238</v>
      </c>
      <c r="G86" s="2">
        <v>0</v>
      </c>
      <c r="H86" s="2">
        <v>10</v>
      </c>
      <c r="I86" s="2" t="s">
        <v>239</v>
      </c>
      <c r="J86" s="2">
        <v>7.0000000000000001E-3</v>
      </c>
      <c r="K86" s="2">
        <f t="shared" si="4"/>
        <v>7</v>
      </c>
      <c r="L86" s="2">
        <v>1.56475E-3</v>
      </c>
      <c r="M86" s="2">
        <f t="shared" si="5"/>
        <v>1.5647499999999999</v>
      </c>
      <c r="N86" s="2" t="s">
        <v>1363</v>
      </c>
      <c r="O86" s="2" t="s">
        <v>1366</v>
      </c>
      <c r="P86" s="2" t="s">
        <v>1367</v>
      </c>
      <c r="Q86" s="2" t="s">
        <v>1368</v>
      </c>
      <c r="R86" s="2">
        <v>70</v>
      </c>
      <c r="S86" s="2">
        <v>40</v>
      </c>
      <c r="T86" s="2" t="s">
        <v>1364</v>
      </c>
      <c r="U86" s="2" t="s">
        <v>1365</v>
      </c>
      <c r="V86" s="2">
        <v>1E-4</v>
      </c>
      <c r="W86" s="2">
        <v>11</v>
      </c>
      <c r="X86" s="2">
        <v>4</v>
      </c>
    </row>
  </sheetData>
  <autoFilter ref="A1:X86" xr:uid="{00000000-0009-0000-0000-00000B000000}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36" customWidth="1"/>
    <col min="3" max="3" width="22" customWidth="1"/>
    <col min="4" max="4" width="24" customWidth="1"/>
    <col min="5" max="5" width="10" customWidth="1"/>
    <col min="6" max="6" width="7" customWidth="1"/>
    <col min="7" max="7" width="10" customWidth="1"/>
    <col min="8" max="9" width="9" customWidth="1"/>
    <col min="10" max="10" width="10" customWidth="1"/>
    <col min="11" max="12" width="9" customWidth="1"/>
    <col min="13" max="13" width="28" customWidth="1"/>
    <col min="14" max="14" width="9" customWidth="1"/>
    <col min="15" max="15" width="8" customWidth="1"/>
    <col min="16" max="16" width="9" customWidth="1"/>
    <col min="17" max="17" width="10" customWidth="1"/>
  </cols>
  <sheetData>
    <row r="1" spans="1:17" ht="52.5" x14ac:dyDescent="0.45">
      <c r="A1" s="1" t="s">
        <v>96</v>
      </c>
      <c r="B1" s="1" t="s">
        <v>271</v>
      </c>
      <c r="C1" s="1" t="s">
        <v>1369</v>
      </c>
      <c r="D1" s="1" t="s">
        <v>274</v>
      </c>
      <c r="E1" s="1" t="s">
        <v>1370</v>
      </c>
      <c r="F1" s="1" t="s">
        <v>275</v>
      </c>
      <c r="G1" s="1" t="s">
        <v>278</v>
      </c>
      <c r="H1" s="1" t="s">
        <v>280</v>
      </c>
      <c r="I1" s="1" t="s">
        <v>281</v>
      </c>
      <c r="J1" s="1" t="s">
        <v>279</v>
      </c>
      <c r="K1" s="1" t="s">
        <v>282</v>
      </c>
      <c r="L1" s="1" t="s">
        <v>1371</v>
      </c>
      <c r="M1" s="1" t="s">
        <v>1372</v>
      </c>
      <c r="N1" s="1" t="s">
        <v>866</v>
      </c>
      <c r="O1" s="1" t="s">
        <v>1373</v>
      </c>
      <c r="P1" s="1" t="s">
        <v>1374</v>
      </c>
      <c r="Q1" s="1" t="s">
        <v>1375</v>
      </c>
    </row>
    <row r="2" spans="1:17" x14ac:dyDescent="0.45">
      <c r="A2" s="2" t="s">
        <v>122</v>
      </c>
      <c r="B2" s="2" t="s">
        <v>1376</v>
      </c>
      <c r="C2" s="2" t="s">
        <v>1377</v>
      </c>
      <c r="D2" s="2" t="s">
        <v>314</v>
      </c>
      <c r="E2" s="2">
        <v>0</v>
      </c>
      <c r="F2" s="2">
        <v>3</v>
      </c>
      <c r="G2" s="11">
        <f>SUMIFS(Val_Layers!$F$2:$F$220,Val_Layers!$A$2:$A$220,A2,Val_Layers!$B$2:$B$220,B2)</f>
        <v>0.12540000000000001</v>
      </c>
      <c r="H2" s="12">
        <v>0.13</v>
      </c>
      <c r="I2" s="12">
        <v>0.13</v>
      </c>
      <c r="J2" s="11">
        <f>SUMIFS(Val_Layers!$N$2:$N$220,Val_Layers!$A$2:$A$220,A2,Val_Layers!$B$2:$B$220,B2)</f>
        <v>0.30867503748125935</v>
      </c>
      <c r="K2" s="5">
        <f t="shared" ref="K2:K37" si="0">1/(H2+J2+I2)</f>
        <v>1.7584735289755968</v>
      </c>
      <c r="L2" s="2">
        <v>94</v>
      </c>
      <c r="M2" s="2" t="s">
        <v>1378</v>
      </c>
      <c r="N2" s="2">
        <v>0</v>
      </c>
      <c r="O2" s="2">
        <v>0</v>
      </c>
      <c r="P2" s="2">
        <v>0</v>
      </c>
      <c r="Q2" s="2">
        <v>94</v>
      </c>
    </row>
    <row r="3" spans="1:17" x14ac:dyDescent="0.45">
      <c r="A3" s="2" t="s">
        <v>122</v>
      </c>
      <c r="B3" s="2" t="s">
        <v>1379</v>
      </c>
      <c r="C3" s="2" t="s">
        <v>1380</v>
      </c>
      <c r="D3" s="2" t="s">
        <v>314</v>
      </c>
      <c r="E3" s="2">
        <v>0</v>
      </c>
      <c r="F3" s="2">
        <v>3</v>
      </c>
      <c r="G3" s="11">
        <f>SUMIFS(Val_Layers!$F$2:$F$220,Val_Layers!$A$2:$A$220,A3,Val_Layers!$B$2:$B$220,B3)</f>
        <v>0.22000000000000003</v>
      </c>
      <c r="H3" s="12">
        <v>0.1</v>
      </c>
      <c r="I3" s="12">
        <v>0.1</v>
      </c>
      <c r="J3" s="11">
        <f>SUMIFS(Val_Layers!$N$2:$N$220,Val_Layers!$A$2:$A$220,A3,Val_Layers!$B$2:$B$220,B3)</f>
        <v>0.70186869372426597</v>
      </c>
      <c r="K3" s="5">
        <f t="shared" si="0"/>
        <v>1.1088088620423233</v>
      </c>
      <c r="L3" s="2">
        <v>360</v>
      </c>
      <c r="M3" s="2" t="s">
        <v>1381</v>
      </c>
      <c r="N3" s="2">
        <v>0</v>
      </c>
      <c r="O3" s="2">
        <v>0</v>
      </c>
      <c r="P3" s="2">
        <v>0</v>
      </c>
      <c r="Q3" s="2">
        <v>360</v>
      </c>
    </row>
    <row r="4" spans="1:17" x14ac:dyDescent="0.45">
      <c r="A4" s="2" t="s">
        <v>122</v>
      </c>
      <c r="B4" s="2" t="s">
        <v>313</v>
      </c>
      <c r="C4" s="2" t="s">
        <v>311</v>
      </c>
      <c r="D4" s="2" t="s">
        <v>314</v>
      </c>
      <c r="E4" s="2">
        <v>0</v>
      </c>
      <c r="F4" s="2">
        <v>2</v>
      </c>
      <c r="G4" s="11">
        <f>SUMIFS(Val_Layers!$F$2:$F$220,Val_Layers!$A$2:$A$220,A4,Val_Layers!$B$2:$B$220,B4)</f>
        <v>0.25</v>
      </c>
      <c r="H4" s="12">
        <v>0.17</v>
      </c>
      <c r="I4" s="12">
        <v>0</v>
      </c>
      <c r="J4" s="11">
        <f>SUMIFS(Val_Layers!$N$2:$N$220,Val_Layers!$A$2:$A$220,A4,Val_Layers!$B$2:$B$220,B4)</f>
        <v>1.7692307692307694</v>
      </c>
      <c r="K4" s="5">
        <f t="shared" si="0"/>
        <v>0.51566838556128514</v>
      </c>
      <c r="L4" s="2">
        <v>1</v>
      </c>
      <c r="M4" s="2" t="s">
        <v>1382</v>
      </c>
      <c r="N4" s="2">
        <v>0</v>
      </c>
      <c r="O4" s="2">
        <v>1</v>
      </c>
      <c r="P4" s="2">
        <v>0</v>
      </c>
      <c r="Q4" s="2">
        <v>0</v>
      </c>
    </row>
    <row r="5" spans="1:17" x14ac:dyDescent="0.45">
      <c r="A5" s="2" t="s">
        <v>122</v>
      </c>
      <c r="B5" s="2" t="s">
        <v>296</v>
      </c>
      <c r="C5" s="2" t="s">
        <v>288</v>
      </c>
      <c r="D5" s="2" t="s">
        <v>289</v>
      </c>
      <c r="E5" s="2">
        <v>14</v>
      </c>
      <c r="F5" s="2">
        <v>7</v>
      </c>
      <c r="G5" s="11">
        <f>SUMIFS(Val_Layers!$F$2:$F$220,Val_Layers!$A$2:$A$220,A5,Val_Layers!$B$2:$B$220,B5)</f>
        <v>0.84499999999999997</v>
      </c>
      <c r="H5" s="12">
        <v>0.13</v>
      </c>
      <c r="I5" s="12">
        <v>0.04</v>
      </c>
      <c r="J5" s="11">
        <f>SUMIFS(Val_Layers!$N$2:$N$220,Val_Layers!$A$2:$A$220,A5,Val_Layers!$B$2:$B$220,B5)</f>
        <v>3.3444500552568326</v>
      </c>
      <c r="K5" s="5">
        <f t="shared" si="0"/>
        <v>0.28453953940936599</v>
      </c>
      <c r="L5" s="2">
        <v>11</v>
      </c>
      <c r="M5" s="2" t="s">
        <v>1383</v>
      </c>
      <c r="N5" s="2">
        <v>11</v>
      </c>
      <c r="O5" s="2">
        <v>0</v>
      </c>
      <c r="P5" s="2">
        <v>0</v>
      </c>
      <c r="Q5" s="2">
        <v>0</v>
      </c>
    </row>
    <row r="6" spans="1:17" x14ac:dyDescent="0.45">
      <c r="A6" s="2" t="s">
        <v>122</v>
      </c>
      <c r="B6" s="2" t="s">
        <v>287</v>
      </c>
      <c r="C6" s="2" t="s">
        <v>288</v>
      </c>
      <c r="D6" s="2" t="s">
        <v>289</v>
      </c>
      <c r="E6" s="2">
        <v>3</v>
      </c>
      <c r="F6" s="2">
        <v>8</v>
      </c>
      <c r="G6" s="11">
        <f>SUMIFS(Val_Layers!$F$2:$F$220,Val_Layers!$A$2:$A$220,A6,Val_Layers!$B$2:$B$220,B6)</f>
        <v>0.40500000000000008</v>
      </c>
      <c r="H6" s="12">
        <v>0.13</v>
      </c>
      <c r="I6" s="12">
        <v>0.04</v>
      </c>
      <c r="J6" s="11">
        <f>SUMIFS(Val_Layers!$N$2:$N$220,Val_Layers!$A$2:$A$220,A6,Val_Layers!$B$2:$B$220,B6)</f>
        <v>3.6171879228704173</v>
      </c>
      <c r="K6" s="5">
        <f t="shared" si="0"/>
        <v>0.26404815931132131</v>
      </c>
      <c r="L6" s="2">
        <v>3</v>
      </c>
      <c r="M6" s="2" t="s">
        <v>1384</v>
      </c>
      <c r="N6" s="2">
        <v>2</v>
      </c>
      <c r="O6" s="2">
        <v>0</v>
      </c>
      <c r="P6" s="2">
        <v>1</v>
      </c>
      <c r="Q6" s="2">
        <v>0</v>
      </c>
    </row>
    <row r="7" spans="1:17" x14ac:dyDescent="0.45">
      <c r="A7" s="2" t="s">
        <v>122</v>
      </c>
      <c r="B7" s="2" t="s">
        <v>294</v>
      </c>
      <c r="C7" s="2" t="s">
        <v>288</v>
      </c>
      <c r="D7" s="2" t="s">
        <v>289</v>
      </c>
      <c r="E7" s="2">
        <v>67</v>
      </c>
      <c r="F7" s="2">
        <v>9</v>
      </c>
      <c r="G7" s="11">
        <f>SUMIFS(Val_Layers!$F$2:$F$220,Val_Layers!$A$2:$A$220,A7,Val_Layers!$B$2:$B$220,B7)</f>
        <v>0.93499999999999994</v>
      </c>
      <c r="H7" s="12">
        <v>0.13</v>
      </c>
      <c r="I7" s="12">
        <v>0.04</v>
      </c>
      <c r="J7" s="11">
        <f>SUMIFS(Val_Layers!$N$2:$N$220,Val_Layers!$A$2:$A$220,A7,Val_Layers!$B$2:$B$220,B7)</f>
        <v>5.0884976743044508</v>
      </c>
      <c r="K7" s="5">
        <f t="shared" si="0"/>
        <v>0.19016838305101494</v>
      </c>
      <c r="L7" s="2">
        <v>13</v>
      </c>
      <c r="M7" s="2" t="s">
        <v>1385</v>
      </c>
      <c r="N7" s="2">
        <v>13</v>
      </c>
      <c r="O7" s="2">
        <v>0</v>
      </c>
      <c r="P7" s="2">
        <v>0</v>
      </c>
      <c r="Q7" s="2">
        <v>0</v>
      </c>
    </row>
    <row r="8" spans="1:17" x14ac:dyDescent="0.45">
      <c r="A8" s="2" t="s">
        <v>122</v>
      </c>
      <c r="B8" s="2" t="s">
        <v>298</v>
      </c>
      <c r="C8" s="2" t="s">
        <v>288</v>
      </c>
      <c r="D8" s="2" t="s">
        <v>289</v>
      </c>
      <c r="E8" s="2">
        <v>34</v>
      </c>
      <c r="F8" s="2">
        <v>9</v>
      </c>
      <c r="G8" s="11">
        <f>SUMIFS(Val_Layers!$F$2:$F$220,Val_Layers!$A$2:$A$220,A8,Val_Layers!$B$2:$B$220,B8)</f>
        <v>0.93499999999999994</v>
      </c>
      <c r="H8" s="12">
        <v>0.13</v>
      </c>
      <c r="I8" s="12">
        <v>0.04</v>
      </c>
      <c r="J8" s="11">
        <f>SUMIFS(Val_Layers!$N$2:$N$220,Val_Layers!$A$2:$A$220,A8,Val_Layers!$B$2:$B$220,B8)</f>
        <v>6.1734159930458556</v>
      </c>
      <c r="K8" s="5">
        <f t="shared" si="0"/>
        <v>0.15764376813632869</v>
      </c>
      <c r="L8" s="2">
        <v>36</v>
      </c>
      <c r="M8" s="2" t="s">
        <v>1386</v>
      </c>
      <c r="N8" s="2">
        <v>34</v>
      </c>
      <c r="O8" s="2">
        <v>0</v>
      </c>
      <c r="P8" s="2">
        <v>0</v>
      </c>
      <c r="Q8" s="2">
        <v>2</v>
      </c>
    </row>
    <row r="9" spans="1:17" x14ac:dyDescent="0.45">
      <c r="A9" s="2" t="s">
        <v>122</v>
      </c>
      <c r="B9" s="2" t="s">
        <v>291</v>
      </c>
      <c r="C9" s="2" t="s">
        <v>288</v>
      </c>
      <c r="D9" s="2" t="s">
        <v>289</v>
      </c>
      <c r="E9" s="2">
        <v>9</v>
      </c>
      <c r="F9" s="2">
        <v>8</v>
      </c>
      <c r="G9" s="11">
        <f>SUMIFS(Val_Layers!$F$2:$F$220,Val_Layers!$A$2:$A$220,A9,Val_Layers!$B$2:$B$220,B9)</f>
        <v>0.505</v>
      </c>
      <c r="H9" s="12">
        <v>0.13</v>
      </c>
      <c r="I9" s="12">
        <v>0.04</v>
      </c>
      <c r="J9" s="11">
        <f>SUMIFS(Val_Layers!$N$2:$N$220,Val_Layers!$A$2:$A$220,A9,Val_Layers!$B$2:$B$220,B9)</f>
        <v>4.6771879228704165</v>
      </c>
      <c r="K9" s="5">
        <f t="shared" si="0"/>
        <v>0.20630518476119206</v>
      </c>
      <c r="L9" s="2">
        <v>156</v>
      </c>
      <c r="M9" s="2" t="s">
        <v>1387</v>
      </c>
      <c r="N9" s="2">
        <v>147</v>
      </c>
      <c r="O9" s="2">
        <v>5</v>
      </c>
      <c r="P9" s="2">
        <v>4</v>
      </c>
      <c r="Q9" s="2">
        <v>0</v>
      </c>
    </row>
    <row r="10" spans="1:17" x14ac:dyDescent="0.45">
      <c r="A10" s="2" t="s">
        <v>122</v>
      </c>
      <c r="B10" s="2" t="s">
        <v>302</v>
      </c>
      <c r="C10" s="2" t="s">
        <v>288</v>
      </c>
      <c r="D10" s="2" t="s">
        <v>289</v>
      </c>
      <c r="E10" s="2">
        <v>69</v>
      </c>
      <c r="F10" s="2">
        <v>5</v>
      </c>
      <c r="G10" s="11">
        <f>SUMIFS(Val_Layers!$F$2:$F$220,Val_Layers!$A$2:$A$220,A10,Val_Layers!$B$2:$B$220,B10)</f>
        <v>0.37500000000000006</v>
      </c>
      <c r="H10" s="12">
        <v>0.13</v>
      </c>
      <c r="I10" s="12">
        <v>0.04</v>
      </c>
      <c r="J10" s="11">
        <f>SUMIFS(Val_Layers!$N$2:$N$220,Val_Layers!$A$2:$A$220,A10,Val_Layers!$B$2:$B$220,B10)</f>
        <v>2.0640421560593643</v>
      </c>
      <c r="K10" s="5">
        <f t="shared" si="0"/>
        <v>0.44761912718957103</v>
      </c>
      <c r="L10" s="2">
        <v>54</v>
      </c>
      <c r="M10" s="2" t="s">
        <v>1388</v>
      </c>
      <c r="N10" s="2">
        <v>36</v>
      </c>
      <c r="O10" s="2">
        <v>12</v>
      </c>
      <c r="P10" s="2">
        <v>0</v>
      </c>
      <c r="Q10" s="2">
        <v>6</v>
      </c>
    </row>
    <row r="11" spans="1:17" x14ac:dyDescent="0.45">
      <c r="A11" s="2" t="s">
        <v>122</v>
      </c>
      <c r="B11" s="2" t="s">
        <v>304</v>
      </c>
      <c r="C11" s="2" t="s">
        <v>288</v>
      </c>
      <c r="D11" s="2" t="s">
        <v>289</v>
      </c>
      <c r="E11" s="2">
        <v>11</v>
      </c>
      <c r="F11" s="2">
        <v>8</v>
      </c>
      <c r="G11" s="11">
        <f>SUMIFS(Val_Layers!$F$2:$F$220,Val_Layers!$A$2:$A$220,A11,Val_Layers!$B$2:$B$220,B11)</f>
        <v>0.65</v>
      </c>
      <c r="H11" s="12">
        <v>0.13</v>
      </c>
      <c r="I11" s="12">
        <v>0.04</v>
      </c>
      <c r="J11" s="11">
        <f>SUMIFS(Val_Layers!$N$2:$N$220,Val_Layers!$A$2:$A$220,A11,Val_Layers!$B$2:$B$220,B11)</f>
        <v>4.8330897751069823</v>
      </c>
      <c r="K11" s="5">
        <f t="shared" si="0"/>
        <v>0.19987648532223604</v>
      </c>
      <c r="L11" s="2">
        <v>21</v>
      </c>
      <c r="M11" s="2" t="s">
        <v>1389</v>
      </c>
      <c r="N11" s="2">
        <v>1</v>
      </c>
      <c r="O11" s="2">
        <v>0</v>
      </c>
      <c r="P11" s="2">
        <v>0</v>
      </c>
      <c r="Q11" s="2">
        <v>20</v>
      </c>
    </row>
    <row r="12" spans="1:17" x14ac:dyDescent="0.45">
      <c r="A12" s="2" t="s">
        <v>122</v>
      </c>
      <c r="B12" s="2" t="s">
        <v>322</v>
      </c>
      <c r="C12" s="2" t="s">
        <v>1377</v>
      </c>
      <c r="D12" s="2" t="s">
        <v>289</v>
      </c>
      <c r="E12" s="2">
        <v>202</v>
      </c>
      <c r="F12" s="2">
        <v>7</v>
      </c>
      <c r="G12" s="11">
        <f>SUMIFS(Val_Layers!$F$2:$F$220,Val_Layers!$A$2:$A$220,A12,Val_Layers!$B$2:$B$220,B12)</f>
        <v>0.21500000000000002</v>
      </c>
      <c r="H12" s="12">
        <v>0.13</v>
      </c>
      <c r="I12" s="12">
        <v>0.13</v>
      </c>
      <c r="J12" s="11">
        <f>SUMIFS(Val_Layers!$N$2:$N$220,Val_Layers!$A$2:$A$220,A12,Val_Layers!$B$2:$B$220,B12)</f>
        <v>2.360238095238095</v>
      </c>
      <c r="K12" s="5">
        <f t="shared" si="0"/>
        <v>0.3816447069513858</v>
      </c>
      <c r="L12" s="2">
        <v>448</v>
      </c>
      <c r="M12" s="2" t="s">
        <v>1390</v>
      </c>
      <c r="N12" s="2">
        <v>2</v>
      </c>
      <c r="O12" s="2">
        <v>0</v>
      </c>
      <c r="P12" s="2">
        <v>0</v>
      </c>
      <c r="Q12" s="2">
        <v>446</v>
      </c>
    </row>
    <row r="13" spans="1:17" x14ac:dyDescent="0.45">
      <c r="A13" s="2" t="s">
        <v>122</v>
      </c>
      <c r="B13" s="2" t="s">
        <v>324</v>
      </c>
      <c r="C13" s="2" t="s">
        <v>1377</v>
      </c>
      <c r="D13" s="2" t="s">
        <v>289</v>
      </c>
      <c r="E13" s="2">
        <v>195</v>
      </c>
      <c r="F13" s="2">
        <v>3</v>
      </c>
      <c r="G13" s="11">
        <f>SUMIFS(Val_Layers!$F$2:$F$220,Val_Layers!$A$2:$A$220,A13,Val_Layers!$B$2:$B$220,B13)</f>
        <v>0.1</v>
      </c>
      <c r="H13" s="12">
        <v>0.13</v>
      </c>
      <c r="I13" s="12">
        <v>0.13</v>
      </c>
      <c r="J13" s="11">
        <f>SUMIFS(Val_Layers!$N$2:$N$220,Val_Layers!$A$2:$A$220,A13,Val_Layers!$B$2:$B$220,B13)</f>
        <v>1.7726190476190475</v>
      </c>
      <c r="K13" s="5">
        <f t="shared" si="0"/>
        <v>0.49197610401780489</v>
      </c>
      <c r="L13" s="2">
        <v>255</v>
      </c>
      <c r="M13" s="2" t="s">
        <v>1391</v>
      </c>
      <c r="N13" s="2">
        <v>135</v>
      </c>
      <c r="O13" s="2">
        <v>0</v>
      </c>
      <c r="P13" s="2">
        <v>0</v>
      </c>
      <c r="Q13" s="2">
        <v>120</v>
      </c>
    </row>
    <row r="14" spans="1:17" x14ac:dyDescent="0.45">
      <c r="A14" s="2" t="s">
        <v>122</v>
      </c>
      <c r="B14" s="2" t="s">
        <v>326</v>
      </c>
      <c r="C14" s="2" t="s">
        <v>1377</v>
      </c>
      <c r="D14" s="2" t="s">
        <v>289</v>
      </c>
      <c r="E14" s="2">
        <v>25</v>
      </c>
      <c r="F14" s="2">
        <v>8</v>
      </c>
      <c r="G14" s="11">
        <f>SUMIFS(Val_Layers!$F$2:$F$220,Val_Layers!$A$2:$A$220,A14,Val_Layers!$B$2:$B$220,B14)</f>
        <v>0.23000000000000004</v>
      </c>
      <c r="H14" s="12">
        <v>0.13</v>
      </c>
      <c r="I14" s="12">
        <v>0.13</v>
      </c>
      <c r="J14" s="11">
        <f>SUMIFS(Val_Layers!$N$2:$N$220,Val_Layers!$A$2:$A$220,A14,Val_Layers!$B$2:$B$220,B14)</f>
        <v>2.3717765567765565</v>
      </c>
      <c r="K14" s="5">
        <f t="shared" si="0"/>
        <v>0.37997146734402737</v>
      </c>
      <c r="L14" s="2">
        <v>58</v>
      </c>
      <c r="M14" s="2" t="s">
        <v>1392</v>
      </c>
      <c r="N14" s="2">
        <v>0</v>
      </c>
      <c r="O14" s="2">
        <v>0</v>
      </c>
      <c r="P14" s="2">
        <v>0</v>
      </c>
      <c r="Q14" s="2">
        <v>58</v>
      </c>
    </row>
    <row r="15" spans="1:17" x14ac:dyDescent="0.45">
      <c r="A15" s="2" t="s">
        <v>122</v>
      </c>
      <c r="B15" s="2" t="s">
        <v>328</v>
      </c>
      <c r="C15" s="2" t="s">
        <v>1377</v>
      </c>
      <c r="D15" s="2" t="s">
        <v>289</v>
      </c>
      <c r="E15" s="2">
        <v>34</v>
      </c>
      <c r="F15" s="2">
        <v>9</v>
      </c>
      <c r="G15" s="11">
        <f>SUMIFS(Val_Layers!$F$2:$F$220,Val_Layers!$A$2:$A$220,A15,Val_Layers!$B$2:$B$220,B15)</f>
        <v>0.245</v>
      </c>
      <c r="H15" s="12">
        <v>0.13</v>
      </c>
      <c r="I15" s="12">
        <v>0.13</v>
      </c>
      <c r="J15" s="11">
        <f>SUMIFS(Val_Layers!$N$2:$N$220,Val_Layers!$A$2:$A$220,A15,Val_Layers!$B$2:$B$220,B15)</f>
        <v>2.383315018315018</v>
      </c>
      <c r="K15" s="5">
        <f t="shared" si="0"/>
        <v>0.37831283561406553</v>
      </c>
      <c r="L15" s="2">
        <v>52</v>
      </c>
      <c r="M15" s="2" t="s">
        <v>1393</v>
      </c>
      <c r="N15" s="2">
        <v>16</v>
      </c>
      <c r="O15" s="2">
        <v>0</v>
      </c>
      <c r="P15" s="2">
        <v>0</v>
      </c>
      <c r="Q15" s="2">
        <v>36</v>
      </c>
    </row>
    <row r="16" spans="1:17" x14ac:dyDescent="0.45">
      <c r="A16" s="2" t="s">
        <v>122</v>
      </c>
      <c r="B16" s="2" t="s">
        <v>330</v>
      </c>
      <c r="C16" s="2" t="s">
        <v>1377</v>
      </c>
      <c r="D16" s="2" t="s">
        <v>289</v>
      </c>
      <c r="E16" s="2">
        <v>21</v>
      </c>
      <c r="F16" s="2">
        <v>5</v>
      </c>
      <c r="G16" s="11">
        <f>SUMIFS(Val_Layers!$F$2:$F$220,Val_Layers!$A$2:$A$220,A16,Val_Layers!$B$2:$B$220,B16)</f>
        <v>0.15500000000000003</v>
      </c>
      <c r="H16" s="12">
        <v>0.13</v>
      </c>
      <c r="I16" s="12">
        <v>0.13</v>
      </c>
      <c r="J16" s="11">
        <f>SUMIFS(Val_Layers!$N$2:$N$220,Val_Layers!$A$2:$A$220,A16,Val_Layers!$B$2:$B$220,B16)</f>
        <v>1.224157509157509</v>
      </c>
      <c r="K16" s="5">
        <f t="shared" si="0"/>
        <v>0.67378293330042593</v>
      </c>
      <c r="L16" s="2">
        <v>21</v>
      </c>
      <c r="M16" s="2" t="s">
        <v>1389</v>
      </c>
      <c r="N16" s="2">
        <v>21</v>
      </c>
      <c r="O16" s="2">
        <v>0</v>
      </c>
      <c r="P16" s="2">
        <v>0</v>
      </c>
      <c r="Q16" s="2">
        <v>0</v>
      </c>
    </row>
    <row r="17" spans="1:17" x14ac:dyDescent="0.45">
      <c r="A17" s="2" t="s">
        <v>122</v>
      </c>
      <c r="B17" s="2" t="s">
        <v>310</v>
      </c>
      <c r="C17" s="2" t="s">
        <v>311</v>
      </c>
      <c r="D17" s="2" t="s">
        <v>289</v>
      </c>
      <c r="E17" s="2">
        <v>47</v>
      </c>
      <c r="F17" s="2">
        <v>7</v>
      </c>
      <c r="G17" s="11">
        <f>SUMIFS(Val_Layers!$F$2:$F$220,Val_Layers!$A$2:$A$220,A17,Val_Layers!$B$2:$B$220,B17)</f>
        <v>0.89999999999999991</v>
      </c>
      <c r="H17" s="12">
        <v>0.17</v>
      </c>
      <c r="I17" s="12">
        <v>0</v>
      </c>
      <c r="J17" s="11">
        <f>SUMIFS(Val_Layers!$N$2:$N$220,Val_Layers!$A$2:$A$220,A17,Val_Layers!$B$2:$B$220,B17)</f>
        <v>3.1621683271275702</v>
      </c>
      <c r="K17" s="5">
        <f t="shared" si="0"/>
        <v>0.30010488721679623</v>
      </c>
      <c r="L17" s="2">
        <v>46</v>
      </c>
      <c r="M17" s="2" t="s">
        <v>1394</v>
      </c>
      <c r="N17" s="2">
        <v>1</v>
      </c>
      <c r="O17" s="2">
        <v>45</v>
      </c>
      <c r="P17" s="2">
        <v>0</v>
      </c>
      <c r="Q17" s="2">
        <v>0</v>
      </c>
    </row>
    <row r="18" spans="1:17" x14ac:dyDescent="0.45">
      <c r="A18" s="2" t="s">
        <v>122</v>
      </c>
      <c r="B18" s="2" t="s">
        <v>1395</v>
      </c>
      <c r="C18" s="2" t="s">
        <v>1380</v>
      </c>
      <c r="D18" s="2" t="s">
        <v>289</v>
      </c>
      <c r="E18" s="2">
        <v>24</v>
      </c>
      <c r="F18" s="2">
        <v>5</v>
      </c>
      <c r="G18" s="11">
        <f>SUMIFS(Val_Layers!$F$2:$F$220,Val_Layers!$A$2:$A$220,A18,Val_Layers!$B$2:$B$220,B18)</f>
        <v>0.43000000000000005</v>
      </c>
      <c r="H18" s="12">
        <v>0.1</v>
      </c>
      <c r="I18" s="12">
        <v>0.1</v>
      </c>
      <c r="J18" s="11">
        <f>SUMIFS(Val_Layers!$N$2:$N$220,Val_Layers!$A$2:$A$220,A18,Val_Layers!$B$2:$B$220,B18)</f>
        <v>2.9171078921078917</v>
      </c>
      <c r="K18" s="5">
        <f t="shared" si="0"/>
        <v>0.32081019798251731</v>
      </c>
      <c r="L18" s="2">
        <v>48</v>
      </c>
      <c r="M18" s="2" t="s">
        <v>1396</v>
      </c>
      <c r="N18" s="2">
        <v>0</v>
      </c>
      <c r="O18" s="2">
        <v>0</v>
      </c>
      <c r="P18" s="2">
        <v>0</v>
      </c>
      <c r="Q18" s="2">
        <v>48</v>
      </c>
    </row>
    <row r="19" spans="1:17" x14ac:dyDescent="0.45">
      <c r="A19" s="2" t="s">
        <v>122</v>
      </c>
      <c r="B19" s="2" t="s">
        <v>306</v>
      </c>
      <c r="C19" s="2" t="s">
        <v>307</v>
      </c>
      <c r="D19" s="2" t="s">
        <v>308</v>
      </c>
      <c r="E19" s="2">
        <v>36</v>
      </c>
      <c r="F19" s="2">
        <v>4</v>
      </c>
      <c r="G19" s="11">
        <f>SUMIFS(Val_Layers!$F$2:$F$220,Val_Layers!$A$2:$A$220,A19,Val_Layers!$B$2:$B$220,B19)</f>
        <v>0.53</v>
      </c>
      <c r="H19" s="12">
        <v>0.1</v>
      </c>
      <c r="I19" s="12">
        <v>0.04</v>
      </c>
      <c r="J19" s="11">
        <f>SUMIFS(Val_Layers!$N$2:$N$220,Val_Layers!$A$2:$A$220,A19,Val_Layers!$B$2:$B$220,B19)</f>
        <v>2.4056724028043339</v>
      </c>
      <c r="K19" s="5">
        <f t="shared" si="0"/>
        <v>0.39282352234262019</v>
      </c>
      <c r="L19" s="2">
        <v>52</v>
      </c>
      <c r="M19" s="2" t="s">
        <v>1397</v>
      </c>
      <c r="N19" s="2">
        <v>52</v>
      </c>
      <c r="O19" s="2">
        <v>0</v>
      </c>
      <c r="P19" s="2">
        <v>0</v>
      </c>
      <c r="Q19" s="2">
        <v>0</v>
      </c>
    </row>
    <row r="20" spans="1:17" x14ac:dyDescent="0.45">
      <c r="A20" s="2" t="s">
        <v>224</v>
      </c>
      <c r="B20" s="2" t="s">
        <v>1376</v>
      </c>
      <c r="C20" s="2" t="s">
        <v>1377</v>
      </c>
      <c r="D20" s="2" t="s">
        <v>314</v>
      </c>
      <c r="E20" s="2">
        <v>0</v>
      </c>
      <c r="F20" s="2">
        <v>3</v>
      </c>
      <c r="G20" s="11">
        <f>SUMIFS(Val_Layers!$F$2:$F$220,Val_Layers!$A$2:$A$220,A20,Val_Layers!$B$2:$B$220,B20)</f>
        <v>0.12540000000000001</v>
      </c>
      <c r="H20" s="12">
        <v>0.13</v>
      </c>
      <c r="I20" s="12">
        <v>0.13</v>
      </c>
      <c r="J20" s="11">
        <f>SUMIFS(Val_Layers!$N$2:$N$220,Val_Layers!$A$2:$A$220,A20,Val_Layers!$B$2:$B$220,B20)</f>
        <v>0.30867503748125935</v>
      </c>
      <c r="K20" s="5">
        <f t="shared" si="0"/>
        <v>1.7584735289755968</v>
      </c>
      <c r="L20" s="2">
        <v>4</v>
      </c>
      <c r="M20" s="2" t="s">
        <v>1398</v>
      </c>
      <c r="N20" s="2">
        <v>0</v>
      </c>
      <c r="O20" s="2">
        <v>0</v>
      </c>
      <c r="P20" s="2">
        <v>0</v>
      </c>
      <c r="Q20" s="2">
        <v>4</v>
      </c>
    </row>
    <row r="21" spans="1:17" x14ac:dyDescent="0.45">
      <c r="A21" s="2" t="s">
        <v>224</v>
      </c>
      <c r="B21" s="2" t="s">
        <v>1379</v>
      </c>
      <c r="C21" s="2" t="s">
        <v>1380</v>
      </c>
      <c r="D21" s="2" t="s">
        <v>314</v>
      </c>
      <c r="E21" s="2">
        <v>0</v>
      </c>
      <c r="F21" s="2">
        <v>3</v>
      </c>
      <c r="G21" s="11">
        <f>SUMIFS(Val_Layers!$F$2:$F$220,Val_Layers!$A$2:$A$220,A21,Val_Layers!$B$2:$B$220,B21)</f>
        <v>0.22000000000000003</v>
      </c>
      <c r="H21" s="12">
        <v>0.1</v>
      </c>
      <c r="I21" s="12">
        <v>0.1</v>
      </c>
      <c r="J21" s="11">
        <f>SUMIFS(Val_Layers!$N$2:$N$220,Val_Layers!$A$2:$A$220,A21,Val_Layers!$B$2:$B$220,B21)</f>
        <v>0.70186869372426597</v>
      </c>
      <c r="K21" s="5">
        <f t="shared" si="0"/>
        <v>1.1088088620423233</v>
      </c>
      <c r="L21" s="2">
        <v>20</v>
      </c>
      <c r="M21" s="2" t="s">
        <v>1399</v>
      </c>
      <c r="N21" s="2">
        <v>0</v>
      </c>
      <c r="O21" s="2">
        <v>0</v>
      </c>
      <c r="P21" s="2">
        <v>0</v>
      </c>
      <c r="Q21" s="2">
        <v>20</v>
      </c>
    </row>
    <row r="22" spans="1:17" x14ac:dyDescent="0.45">
      <c r="A22" s="2" t="s">
        <v>224</v>
      </c>
      <c r="B22" s="2" t="s">
        <v>287</v>
      </c>
      <c r="C22" s="2" t="s">
        <v>288</v>
      </c>
      <c r="D22" s="2" t="s">
        <v>289</v>
      </c>
      <c r="E22" s="2">
        <v>3</v>
      </c>
      <c r="F22" s="2">
        <v>8</v>
      </c>
      <c r="G22" s="11">
        <f>SUMIFS(Val_Layers!$F$2:$F$220,Val_Layers!$A$2:$A$220,A22,Val_Layers!$B$2:$B$220,B22)</f>
        <v>0.40500000000000008</v>
      </c>
      <c r="H22" s="12">
        <v>0.13</v>
      </c>
      <c r="I22" s="12">
        <v>0.04</v>
      </c>
      <c r="J22" s="11">
        <f>SUMIFS(Val_Layers!$N$2:$N$220,Val_Layers!$A$2:$A$220,A22,Val_Layers!$B$2:$B$220,B22)</f>
        <v>3.6171879228704173</v>
      </c>
      <c r="K22" s="5">
        <f t="shared" si="0"/>
        <v>0.26404815931132131</v>
      </c>
      <c r="L22" s="2">
        <v>3</v>
      </c>
      <c r="M22" s="2" t="s">
        <v>1384</v>
      </c>
      <c r="N22" s="2">
        <v>3</v>
      </c>
      <c r="O22" s="2">
        <v>0</v>
      </c>
      <c r="P22" s="2">
        <v>0</v>
      </c>
      <c r="Q22" s="2">
        <v>0</v>
      </c>
    </row>
    <row r="23" spans="1:17" x14ac:dyDescent="0.45">
      <c r="A23" s="2" t="s">
        <v>224</v>
      </c>
      <c r="B23" s="2" t="s">
        <v>291</v>
      </c>
      <c r="C23" s="2" t="s">
        <v>288</v>
      </c>
      <c r="D23" s="2" t="s">
        <v>289</v>
      </c>
      <c r="E23" s="2">
        <v>4</v>
      </c>
      <c r="F23" s="2">
        <v>8</v>
      </c>
      <c r="G23" s="11">
        <f>SUMIFS(Val_Layers!$F$2:$F$220,Val_Layers!$A$2:$A$220,A23,Val_Layers!$B$2:$B$220,B23)</f>
        <v>0.505</v>
      </c>
      <c r="H23" s="12">
        <v>0.13</v>
      </c>
      <c r="I23" s="12">
        <v>0.04</v>
      </c>
      <c r="J23" s="11">
        <f>SUMIFS(Val_Layers!$N$2:$N$220,Val_Layers!$A$2:$A$220,A23,Val_Layers!$B$2:$B$220,B23)</f>
        <v>4.6771879228704165</v>
      </c>
      <c r="K23" s="5">
        <f t="shared" si="0"/>
        <v>0.20630518476119206</v>
      </c>
      <c r="L23" s="2">
        <v>33</v>
      </c>
      <c r="M23" s="2" t="s">
        <v>1400</v>
      </c>
      <c r="N23" s="2">
        <v>26</v>
      </c>
      <c r="O23" s="2">
        <v>0</v>
      </c>
      <c r="P23" s="2">
        <v>7</v>
      </c>
      <c r="Q23" s="2">
        <v>0</v>
      </c>
    </row>
    <row r="24" spans="1:17" x14ac:dyDescent="0.45">
      <c r="A24" s="2" t="s">
        <v>224</v>
      </c>
      <c r="B24" s="2" t="s">
        <v>294</v>
      </c>
      <c r="C24" s="2" t="s">
        <v>288</v>
      </c>
      <c r="D24" s="2" t="s">
        <v>289</v>
      </c>
      <c r="E24" s="2">
        <v>8</v>
      </c>
      <c r="F24" s="2">
        <v>9</v>
      </c>
      <c r="G24" s="11">
        <f>SUMIFS(Val_Layers!$F$2:$F$220,Val_Layers!$A$2:$A$220,A24,Val_Layers!$B$2:$B$220,B24)</f>
        <v>0.93499999999999994</v>
      </c>
      <c r="H24" s="12">
        <v>0.13</v>
      </c>
      <c r="I24" s="12">
        <v>0.04</v>
      </c>
      <c r="J24" s="11">
        <f>SUMIFS(Val_Layers!$N$2:$N$220,Val_Layers!$A$2:$A$220,A24,Val_Layers!$B$2:$B$220,B24)</f>
        <v>5.0884976743044508</v>
      </c>
      <c r="K24" s="5">
        <f t="shared" si="0"/>
        <v>0.19016838305101494</v>
      </c>
      <c r="L24" s="2">
        <v>8</v>
      </c>
      <c r="M24" s="2" t="s">
        <v>1401</v>
      </c>
      <c r="N24" s="2">
        <v>8</v>
      </c>
      <c r="O24" s="2">
        <v>0</v>
      </c>
      <c r="P24" s="2">
        <v>0</v>
      </c>
      <c r="Q24" s="2">
        <v>0</v>
      </c>
    </row>
    <row r="25" spans="1:17" x14ac:dyDescent="0.45">
      <c r="A25" s="2" t="s">
        <v>224</v>
      </c>
      <c r="B25" s="2" t="s">
        <v>300</v>
      </c>
      <c r="C25" s="2" t="s">
        <v>288</v>
      </c>
      <c r="D25" s="2" t="s">
        <v>289</v>
      </c>
      <c r="E25" s="2">
        <v>31</v>
      </c>
      <c r="F25" s="2">
        <v>3</v>
      </c>
      <c r="G25" s="11">
        <f>SUMIFS(Val_Layers!$F$2:$F$220,Val_Layers!$A$2:$A$220,A25,Val_Layers!$B$2:$B$220,B25)</f>
        <v>0.29000000000000004</v>
      </c>
      <c r="H25" s="12">
        <v>0.13</v>
      </c>
      <c r="I25" s="12">
        <v>0.04</v>
      </c>
      <c r="J25" s="11">
        <f>SUMIFS(Val_Layers!$N$2:$N$220,Val_Layers!$A$2:$A$220,A25,Val_Layers!$B$2:$B$220,B25)</f>
        <v>0.3342802512974597</v>
      </c>
      <c r="K25" s="5">
        <f t="shared" si="0"/>
        <v>1.9830243152039086</v>
      </c>
      <c r="L25" s="2">
        <v>37</v>
      </c>
      <c r="M25" s="2" t="s">
        <v>1402</v>
      </c>
      <c r="N25" s="2">
        <v>15</v>
      </c>
      <c r="O25" s="2">
        <v>0</v>
      </c>
      <c r="P25" s="2">
        <v>0</v>
      </c>
      <c r="Q25" s="2">
        <v>22</v>
      </c>
    </row>
    <row r="26" spans="1:17" x14ac:dyDescent="0.45">
      <c r="A26" s="2" t="s">
        <v>224</v>
      </c>
      <c r="B26" s="2" t="s">
        <v>296</v>
      </c>
      <c r="C26" s="2" t="s">
        <v>288</v>
      </c>
      <c r="D26" s="2" t="s">
        <v>289</v>
      </c>
      <c r="E26" s="2">
        <v>1</v>
      </c>
      <c r="F26" s="2">
        <v>7</v>
      </c>
      <c r="G26" s="11">
        <f>SUMIFS(Val_Layers!$F$2:$F$220,Val_Layers!$A$2:$A$220,A26,Val_Layers!$B$2:$B$220,B26)</f>
        <v>0.84499999999999997</v>
      </c>
      <c r="H26" s="12">
        <v>0.13</v>
      </c>
      <c r="I26" s="12">
        <v>0.04</v>
      </c>
      <c r="J26" s="11">
        <f>SUMIFS(Val_Layers!$N$2:$N$220,Val_Layers!$A$2:$A$220,A26,Val_Layers!$B$2:$B$220,B26)</f>
        <v>3.3444500552568326</v>
      </c>
      <c r="K26" s="5">
        <f t="shared" si="0"/>
        <v>0.28453953940936599</v>
      </c>
      <c r="L26" s="2">
        <v>1</v>
      </c>
      <c r="M26" s="2" t="s">
        <v>1403</v>
      </c>
      <c r="N26" s="2">
        <v>1</v>
      </c>
      <c r="O26" s="2">
        <v>0</v>
      </c>
      <c r="P26" s="2">
        <v>0</v>
      </c>
      <c r="Q26" s="2">
        <v>0</v>
      </c>
    </row>
    <row r="27" spans="1:17" x14ac:dyDescent="0.45">
      <c r="A27" s="2" t="s">
        <v>224</v>
      </c>
      <c r="B27" s="2" t="s">
        <v>298</v>
      </c>
      <c r="C27" s="2" t="s">
        <v>288</v>
      </c>
      <c r="D27" s="2" t="s">
        <v>289</v>
      </c>
      <c r="E27" s="2">
        <v>2</v>
      </c>
      <c r="F27" s="2">
        <v>9</v>
      </c>
      <c r="G27" s="11">
        <f>SUMIFS(Val_Layers!$F$2:$F$220,Val_Layers!$A$2:$A$220,A27,Val_Layers!$B$2:$B$220,B27)</f>
        <v>0.93499999999999994</v>
      </c>
      <c r="H27" s="12">
        <v>0.13</v>
      </c>
      <c r="I27" s="12">
        <v>0.04</v>
      </c>
      <c r="J27" s="11">
        <f>SUMIFS(Val_Layers!$N$2:$N$220,Val_Layers!$A$2:$A$220,A27,Val_Layers!$B$2:$B$220,B27)</f>
        <v>6.1734159930458556</v>
      </c>
      <c r="K27" s="5">
        <f t="shared" si="0"/>
        <v>0.15764376813632869</v>
      </c>
      <c r="L27" s="2">
        <v>2</v>
      </c>
      <c r="M27" s="2" t="s">
        <v>1404</v>
      </c>
      <c r="N27" s="2">
        <v>2</v>
      </c>
      <c r="O27" s="2">
        <v>0</v>
      </c>
      <c r="P27" s="2">
        <v>0</v>
      </c>
      <c r="Q27" s="2">
        <v>0</v>
      </c>
    </row>
    <row r="28" spans="1:17" x14ac:dyDescent="0.45">
      <c r="A28" s="2" t="s">
        <v>224</v>
      </c>
      <c r="B28" s="2" t="s">
        <v>322</v>
      </c>
      <c r="C28" s="2" t="s">
        <v>1377</v>
      </c>
      <c r="D28" s="2" t="s">
        <v>289</v>
      </c>
      <c r="E28" s="2">
        <v>58</v>
      </c>
      <c r="F28" s="2">
        <v>7</v>
      </c>
      <c r="G28" s="11">
        <f>SUMIFS(Val_Layers!$F$2:$F$220,Val_Layers!$A$2:$A$220,A28,Val_Layers!$B$2:$B$220,B28)</f>
        <v>0.21500000000000002</v>
      </c>
      <c r="H28" s="12">
        <v>0.13</v>
      </c>
      <c r="I28" s="12">
        <v>0.13</v>
      </c>
      <c r="J28" s="11">
        <f>SUMIFS(Val_Layers!$N$2:$N$220,Val_Layers!$A$2:$A$220,A28,Val_Layers!$B$2:$B$220,B28)</f>
        <v>2.360238095238095</v>
      </c>
      <c r="K28" s="5">
        <f t="shared" si="0"/>
        <v>0.3816447069513858</v>
      </c>
      <c r="L28" s="2">
        <v>78</v>
      </c>
      <c r="M28" s="2" t="s">
        <v>1405</v>
      </c>
      <c r="N28" s="2">
        <v>20</v>
      </c>
      <c r="O28" s="2">
        <v>0</v>
      </c>
      <c r="P28" s="2">
        <v>0</v>
      </c>
      <c r="Q28" s="2">
        <v>58</v>
      </c>
    </row>
    <row r="29" spans="1:17" x14ac:dyDescent="0.45">
      <c r="A29" s="2" t="s">
        <v>224</v>
      </c>
      <c r="B29" s="2" t="s">
        <v>324</v>
      </c>
      <c r="C29" s="2" t="s">
        <v>1377</v>
      </c>
      <c r="D29" s="2" t="s">
        <v>289</v>
      </c>
      <c r="E29" s="2">
        <v>24</v>
      </c>
      <c r="F29" s="2">
        <v>3</v>
      </c>
      <c r="G29" s="11">
        <f>SUMIFS(Val_Layers!$F$2:$F$220,Val_Layers!$A$2:$A$220,A29,Val_Layers!$B$2:$B$220,B29)</f>
        <v>0.1</v>
      </c>
      <c r="H29" s="12">
        <v>0.13</v>
      </c>
      <c r="I29" s="12">
        <v>0.13</v>
      </c>
      <c r="J29" s="11">
        <f>SUMIFS(Val_Layers!$N$2:$N$220,Val_Layers!$A$2:$A$220,A29,Val_Layers!$B$2:$B$220,B29)</f>
        <v>1.7726190476190475</v>
      </c>
      <c r="K29" s="5">
        <f t="shared" si="0"/>
        <v>0.49197610401780489</v>
      </c>
      <c r="L29" s="2">
        <v>34</v>
      </c>
      <c r="M29" s="2" t="s">
        <v>1406</v>
      </c>
      <c r="N29" s="2">
        <v>14</v>
      </c>
      <c r="O29" s="2">
        <v>0</v>
      </c>
      <c r="P29" s="2">
        <v>0</v>
      </c>
      <c r="Q29" s="2">
        <v>20</v>
      </c>
    </row>
    <row r="30" spans="1:17" x14ac:dyDescent="0.45">
      <c r="A30" s="2" t="s">
        <v>224</v>
      </c>
      <c r="B30" s="2" t="s">
        <v>326</v>
      </c>
      <c r="C30" s="2" t="s">
        <v>1377</v>
      </c>
      <c r="D30" s="2" t="s">
        <v>289</v>
      </c>
      <c r="E30" s="2">
        <v>22</v>
      </c>
      <c r="F30" s="2">
        <v>8</v>
      </c>
      <c r="G30" s="11">
        <f>SUMIFS(Val_Layers!$F$2:$F$220,Val_Layers!$A$2:$A$220,A30,Val_Layers!$B$2:$B$220,B30)</f>
        <v>0.23000000000000004</v>
      </c>
      <c r="H30" s="12">
        <v>0.13</v>
      </c>
      <c r="I30" s="12">
        <v>0.13</v>
      </c>
      <c r="J30" s="11">
        <f>SUMIFS(Val_Layers!$N$2:$N$220,Val_Layers!$A$2:$A$220,A30,Val_Layers!$B$2:$B$220,B30)</f>
        <v>2.3717765567765565</v>
      </c>
      <c r="K30" s="5">
        <f t="shared" si="0"/>
        <v>0.37997146734402737</v>
      </c>
      <c r="L30" s="2">
        <v>42</v>
      </c>
      <c r="M30" s="2" t="s">
        <v>1407</v>
      </c>
      <c r="N30" s="2">
        <v>2</v>
      </c>
      <c r="O30" s="2">
        <v>0</v>
      </c>
      <c r="P30" s="2">
        <v>0</v>
      </c>
      <c r="Q30" s="2">
        <v>40</v>
      </c>
    </row>
    <row r="31" spans="1:17" x14ac:dyDescent="0.45">
      <c r="A31" s="2" t="s">
        <v>224</v>
      </c>
      <c r="B31" s="2" t="s">
        <v>330</v>
      </c>
      <c r="C31" s="2" t="s">
        <v>1377</v>
      </c>
      <c r="D31" s="2" t="s">
        <v>289</v>
      </c>
      <c r="E31" s="2">
        <v>4</v>
      </c>
      <c r="F31" s="2">
        <v>5</v>
      </c>
      <c r="G31" s="11">
        <f>SUMIFS(Val_Layers!$F$2:$F$220,Val_Layers!$A$2:$A$220,A31,Val_Layers!$B$2:$B$220,B31)</f>
        <v>0.15500000000000003</v>
      </c>
      <c r="H31" s="12">
        <v>0.13</v>
      </c>
      <c r="I31" s="12">
        <v>0.13</v>
      </c>
      <c r="J31" s="11">
        <f>SUMIFS(Val_Layers!$N$2:$N$220,Val_Layers!$A$2:$A$220,A31,Val_Layers!$B$2:$B$220,B31)</f>
        <v>1.224157509157509</v>
      </c>
      <c r="K31" s="5">
        <f t="shared" si="0"/>
        <v>0.67378293330042593</v>
      </c>
      <c r="L31" s="2">
        <v>4</v>
      </c>
      <c r="M31" s="2" t="s">
        <v>1398</v>
      </c>
      <c r="N31" s="2">
        <v>4</v>
      </c>
      <c r="O31" s="2">
        <v>0</v>
      </c>
      <c r="P31" s="2">
        <v>0</v>
      </c>
      <c r="Q31" s="2">
        <v>0</v>
      </c>
    </row>
    <row r="32" spans="1:17" x14ac:dyDescent="0.45">
      <c r="A32" s="2" t="s">
        <v>224</v>
      </c>
      <c r="B32" s="2" t="s">
        <v>319</v>
      </c>
      <c r="C32" s="2" t="s">
        <v>1377</v>
      </c>
      <c r="D32" s="2" t="s">
        <v>289</v>
      </c>
      <c r="E32" s="2">
        <v>7</v>
      </c>
      <c r="F32" s="2">
        <v>6</v>
      </c>
      <c r="G32" s="11">
        <f>SUMIFS(Val_Layers!$F$2:$F$220,Val_Layers!$A$2:$A$220,A32,Val_Layers!$B$2:$B$220,B32)</f>
        <v>0.43500000000000005</v>
      </c>
      <c r="H32" s="12">
        <v>0.13</v>
      </c>
      <c r="I32" s="12">
        <v>0.13</v>
      </c>
      <c r="J32" s="11">
        <f>SUMIFS(Val_Layers!$N$2:$N$220,Val_Layers!$A$2:$A$220,A32,Val_Layers!$B$2:$B$220,B32)</f>
        <v>1.3751966873706003</v>
      </c>
      <c r="K32" s="5">
        <f t="shared" si="0"/>
        <v>0.61154722714611309</v>
      </c>
      <c r="L32" s="2">
        <v>11</v>
      </c>
      <c r="M32" s="2" t="s">
        <v>1383</v>
      </c>
      <c r="N32" s="2">
        <v>3</v>
      </c>
      <c r="O32" s="2">
        <v>0</v>
      </c>
      <c r="P32" s="2">
        <v>0</v>
      </c>
      <c r="Q32" s="2">
        <v>8</v>
      </c>
    </row>
    <row r="33" spans="1:17" x14ac:dyDescent="0.45">
      <c r="A33" s="2" t="s">
        <v>224</v>
      </c>
      <c r="B33" s="2" t="s">
        <v>328</v>
      </c>
      <c r="C33" s="2" t="s">
        <v>1377</v>
      </c>
      <c r="D33" s="2" t="s">
        <v>289</v>
      </c>
      <c r="E33" s="2">
        <v>7</v>
      </c>
      <c r="F33" s="2">
        <v>9</v>
      </c>
      <c r="G33" s="11">
        <f>SUMIFS(Val_Layers!$F$2:$F$220,Val_Layers!$A$2:$A$220,A33,Val_Layers!$B$2:$B$220,B33)</f>
        <v>0.245</v>
      </c>
      <c r="H33" s="12">
        <v>0.13</v>
      </c>
      <c r="I33" s="12">
        <v>0.13</v>
      </c>
      <c r="J33" s="11">
        <f>SUMIFS(Val_Layers!$N$2:$N$220,Val_Layers!$A$2:$A$220,A33,Val_Layers!$B$2:$B$220,B33)</f>
        <v>2.383315018315018</v>
      </c>
      <c r="K33" s="5">
        <f t="shared" si="0"/>
        <v>0.37831283561406553</v>
      </c>
      <c r="L33" s="2">
        <v>7</v>
      </c>
      <c r="M33" s="2" t="s">
        <v>1408</v>
      </c>
      <c r="N33" s="2">
        <v>7</v>
      </c>
      <c r="O33" s="2">
        <v>0</v>
      </c>
      <c r="P33" s="2">
        <v>0</v>
      </c>
      <c r="Q33" s="2">
        <v>0</v>
      </c>
    </row>
    <row r="34" spans="1:17" x14ac:dyDescent="0.45">
      <c r="A34" s="2" t="s">
        <v>224</v>
      </c>
      <c r="B34" s="2" t="s">
        <v>316</v>
      </c>
      <c r="C34" s="2" t="s">
        <v>317</v>
      </c>
      <c r="D34" s="2" t="s">
        <v>289</v>
      </c>
      <c r="E34" s="2">
        <v>3</v>
      </c>
      <c r="F34" s="2">
        <v>5</v>
      </c>
      <c r="G34" s="11">
        <f>SUMIFS(Val_Layers!$F$2:$F$220,Val_Layers!$A$2:$A$220,A34,Val_Layers!$B$2:$B$220,B34)</f>
        <v>0.43000000000000005</v>
      </c>
      <c r="H34" s="12">
        <v>0.17</v>
      </c>
      <c r="I34" s="12">
        <v>0.04</v>
      </c>
      <c r="J34" s="11">
        <f>SUMIFS(Val_Layers!$N$2:$N$220,Val_Layers!$A$2:$A$220,A34,Val_Layers!$B$2:$B$220,B34)</f>
        <v>3.1533180234399745</v>
      </c>
      <c r="K34" s="5">
        <f t="shared" si="0"/>
        <v>0.29732543667613331</v>
      </c>
      <c r="L34" s="2">
        <v>79</v>
      </c>
      <c r="M34" s="2" t="s">
        <v>1409</v>
      </c>
      <c r="N34" s="2">
        <v>13</v>
      </c>
      <c r="O34" s="2">
        <v>0</v>
      </c>
      <c r="P34" s="2">
        <v>0</v>
      </c>
      <c r="Q34" s="2">
        <v>66</v>
      </c>
    </row>
    <row r="35" spans="1:17" x14ac:dyDescent="0.45">
      <c r="A35" s="2" t="s">
        <v>224</v>
      </c>
      <c r="B35" s="2" t="s">
        <v>310</v>
      </c>
      <c r="C35" s="2" t="s">
        <v>311</v>
      </c>
      <c r="D35" s="2" t="s">
        <v>289</v>
      </c>
      <c r="E35" s="2">
        <v>21</v>
      </c>
      <c r="F35" s="2">
        <v>7</v>
      </c>
      <c r="G35" s="11">
        <f>SUMIFS(Val_Layers!$F$2:$F$220,Val_Layers!$A$2:$A$220,A35,Val_Layers!$B$2:$B$220,B35)</f>
        <v>0.89999999999999991</v>
      </c>
      <c r="H35" s="12">
        <v>0.17</v>
      </c>
      <c r="I35" s="12">
        <v>0</v>
      </c>
      <c r="J35" s="11">
        <f>SUMIFS(Val_Layers!$N$2:$N$220,Val_Layers!$A$2:$A$220,A35,Val_Layers!$B$2:$B$220,B35)</f>
        <v>3.1621683271275702</v>
      </c>
      <c r="K35" s="5">
        <f t="shared" si="0"/>
        <v>0.30010488721679623</v>
      </c>
      <c r="L35" s="2">
        <v>15</v>
      </c>
      <c r="M35" s="2" t="s">
        <v>1410</v>
      </c>
      <c r="N35" s="2">
        <v>0</v>
      </c>
      <c r="O35" s="2">
        <v>15</v>
      </c>
      <c r="P35" s="2">
        <v>0</v>
      </c>
      <c r="Q35" s="2">
        <v>0</v>
      </c>
    </row>
    <row r="36" spans="1:17" x14ac:dyDescent="0.45">
      <c r="A36" s="2" t="s">
        <v>224</v>
      </c>
      <c r="B36" s="2" t="s">
        <v>1395</v>
      </c>
      <c r="C36" s="2" t="s">
        <v>1380</v>
      </c>
      <c r="D36" s="2" t="s">
        <v>289</v>
      </c>
      <c r="E36" s="2">
        <v>11</v>
      </c>
      <c r="F36" s="2">
        <v>5</v>
      </c>
      <c r="G36" s="11">
        <f>SUMIFS(Val_Layers!$F$2:$F$220,Val_Layers!$A$2:$A$220,A36,Val_Layers!$B$2:$B$220,B36)</f>
        <v>0.43000000000000005</v>
      </c>
      <c r="H36" s="12">
        <v>0.1</v>
      </c>
      <c r="I36" s="12">
        <v>0.1</v>
      </c>
      <c r="J36" s="11">
        <f>SUMIFS(Val_Layers!$N$2:$N$220,Val_Layers!$A$2:$A$220,A36,Val_Layers!$B$2:$B$220,B36)</f>
        <v>2.9171078921078917</v>
      </c>
      <c r="K36" s="5">
        <f t="shared" si="0"/>
        <v>0.32081019798251731</v>
      </c>
      <c r="L36" s="2">
        <v>22</v>
      </c>
      <c r="M36" s="2" t="s">
        <v>1411</v>
      </c>
      <c r="N36" s="2">
        <v>0</v>
      </c>
      <c r="O36" s="2">
        <v>0</v>
      </c>
      <c r="P36" s="2">
        <v>0</v>
      </c>
      <c r="Q36" s="2">
        <v>22</v>
      </c>
    </row>
    <row r="37" spans="1:17" x14ac:dyDescent="0.45">
      <c r="A37" s="2" t="s">
        <v>224</v>
      </c>
      <c r="B37" s="2" t="s">
        <v>306</v>
      </c>
      <c r="C37" s="2" t="s">
        <v>307</v>
      </c>
      <c r="D37" s="2" t="s">
        <v>308</v>
      </c>
      <c r="E37" s="2">
        <v>12</v>
      </c>
      <c r="F37" s="2">
        <v>4</v>
      </c>
      <c r="G37" s="11">
        <f>SUMIFS(Val_Layers!$F$2:$F$220,Val_Layers!$A$2:$A$220,A37,Val_Layers!$B$2:$B$220,B37)</f>
        <v>0.53</v>
      </c>
      <c r="H37" s="12">
        <v>0.1</v>
      </c>
      <c r="I37" s="12">
        <v>0.04</v>
      </c>
      <c r="J37" s="11">
        <f>SUMIFS(Val_Layers!$N$2:$N$220,Val_Layers!$A$2:$A$220,A37,Val_Layers!$B$2:$B$220,B37)</f>
        <v>2.4056724028043339</v>
      </c>
      <c r="K37" s="5">
        <f t="shared" si="0"/>
        <v>0.39282352234262019</v>
      </c>
      <c r="L37" s="2">
        <v>17</v>
      </c>
      <c r="M37" s="2" t="s">
        <v>1412</v>
      </c>
      <c r="N37" s="2">
        <v>17</v>
      </c>
      <c r="O37" s="2">
        <v>0</v>
      </c>
      <c r="P37" s="2">
        <v>0</v>
      </c>
      <c r="Q37" s="2">
        <v>0</v>
      </c>
    </row>
  </sheetData>
  <autoFilter ref="A1:Q37" xr:uid="{00000000-0009-0000-0000-00000C000000}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22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34" customWidth="1"/>
    <col min="3" max="3" width="9" customWidth="1"/>
    <col min="4" max="4" width="44" customWidth="1"/>
    <col min="5" max="5" width="40" customWidth="1"/>
    <col min="6" max="6" width="10" customWidth="1"/>
    <col min="7" max="7" width="11" customWidth="1"/>
    <col min="8" max="8" width="10" customWidth="1"/>
    <col min="9" max="9" width="11" customWidth="1"/>
    <col min="10" max="12" width="10" customWidth="1"/>
    <col min="13" max="14" width="12" customWidth="1"/>
  </cols>
  <sheetData>
    <row r="1" spans="1:14" ht="39.4" x14ac:dyDescent="0.45">
      <c r="A1" s="1" t="s">
        <v>96</v>
      </c>
      <c r="B1" s="1" t="s">
        <v>271</v>
      </c>
      <c r="C1" s="1" t="s">
        <v>1413</v>
      </c>
      <c r="D1" s="1" t="s">
        <v>1414</v>
      </c>
      <c r="E1" s="1" t="s">
        <v>1415</v>
      </c>
      <c r="F1" s="1" t="s">
        <v>1416</v>
      </c>
      <c r="G1" s="1" t="s">
        <v>1417</v>
      </c>
      <c r="H1" s="1" t="s">
        <v>1418</v>
      </c>
      <c r="I1" s="1" t="s">
        <v>1419</v>
      </c>
      <c r="J1" s="1" t="s">
        <v>1420</v>
      </c>
      <c r="K1" s="1" t="s">
        <v>1421</v>
      </c>
      <c r="L1" s="1" t="s">
        <v>1422</v>
      </c>
      <c r="M1" s="1" t="s">
        <v>833</v>
      </c>
      <c r="N1" s="1" t="s">
        <v>1423</v>
      </c>
    </row>
    <row r="2" spans="1:14" x14ac:dyDescent="0.45">
      <c r="A2" s="2" t="s">
        <v>122</v>
      </c>
      <c r="B2" s="2" t="s">
        <v>1376</v>
      </c>
      <c r="C2" s="2">
        <v>1</v>
      </c>
      <c r="D2" s="2" t="s">
        <v>1424</v>
      </c>
      <c r="E2" s="2" t="s">
        <v>1424</v>
      </c>
      <c r="F2" s="2">
        <v>1.2699999999999999E-2</v>
      </c>
      <c r="G2" s="2">
        <v>0.16</v>
      </c>
      <c r="H2" s="2">
        <v>800</v>
      </c>
      <c r="I2" s="2">
        <v>1090</v>
      </c>
      <c r="J2" s="2">
        <v>0.9</v>
      </c>
      <c r="K2" s="2">
        <v>0.5</v>
      </c>
      <c r="L2" s="2">
        <v>0.5</v>
      </c>
      <c r="M2" s="2" t="s">
        <v>1425</v>
      </c>
      <c r="N2" s="15">
        <f t="shared" ref="N2:N65" si="0">IF(G2&gt;0,F2/G2,0)</f>
        <v>7.9375000000000001E-2</v>
      </c>
    </row>
    <row r="3" spans="1:14" x14ac:dyDescent="0.45">
      <c r="A3" s="2" t="s">
        <v>122</v>
      </c>
      <c r="B3" s="2" t="s">
        <v>1376</v>
      </c>
      <c r="C3" s="2">
        <v>2</v>
      </c>
      <c r="D3" s="2" t="s">
        <v>1426</v>
      </c>
      <c r="E3" s="2" t="s">
        <v>1426</v>
      </c>
      <c r="F3" s="2">
        <v>0.1</v>
      </c>
      <c r="G3" s="2">
        <v>0.66700000000000004</v>
      </c>
      <c r="H3" s="2">
        <v>1.28</v>
      </c>
      <c r="I3" s="2">
        <v>1000</v>
      </c>
      <c r="J3" s="2">
        <v>0.9</v>
      </c>
      <c r="K3" s="2">
        <v>0.7</v>
      </c>
      <c r="L3" s="2">
        <v>0.7</v>
      </c>
      <c r="M3" s="2" t="s">
        <v>1427</v>
      </c>
      <c r="N3" s="15">
        <f t="shared" si="0"/>
        <v>0.14992503748125938</v>
      </c>
    </row>
    <row r="4" spans="1:14" x14ac:dyDescent="0.45">
      <c r="A4" s="2" t="s">
        <v>122</v>
      </c>
      <c r="B4" s="2" t="s">
        <v>1376</v>
      </c>
      <c r="C4" s="2">
        <v>3</v>
      </c>
      <c r="D4" s="2" t="s">
        <v>1424</v>
      </c>
      <c r="E4" s="2" t="s">
        <v>1424</v>
      </c>
      <c r="F4" s="2">
        <v>1.2699999999999999E-2</v>
      </c>
      <c r="G4" s="2">
        <v>0.16</v>
      </c>
      <c r="H4" s="2">
        <v>800</v>
      </c>
      <c r="I4" s="2">
        <v>1090</v>
      </c>
      <c r="J4" s="2">
        <v>0.9</v>
      </c>
      <c r="K4" s="2">
        <v>0.5</v>
      </c>
      <c r="L4" s="2">
        <v>0.5</v>
      </c>
      <c r="M4" s="2" t="s">
        <v>1425</v>
      </c>
      <c r="N4" s="15">
        <f t="shared" si="0"/>
        <v>7.9375000000000001E-2</v>
      </c>
    </row>
    <row r="5" spans="1:14" x14ac:dyDescent="0.45">
      <c r="A5" s="2" t="s">
        <v>122</v>
      </c>
      <c r="B5" s="2" t="s">
        <v>1379</v>
      </c>
      <c r="C5" s="2">
        <v>1</v>
      </c>
      <c r="D5" s="2" t="s">
        <v>1428</v>
      </c>
      <c r="E5" s="2" t="s">
        <v>1428</v>
      </c>
      <c r="F5" s="2">
        <v>0.02</v>
      </c>
      <c r="G5" s="2">
        <v>0.06</v>
      </c>
      <c r="H5" s="2">
        <v>368</v>
      </c>
      <c r="I5" s="2">
        <v>590</v>
      </c>
      <c r="J5" s="2">
        <v>0.9</v>
      </c>
      <c r="K5" s="2">
        <v>0.2</v>
      </c>
      <c r="L5" s="2">
        <v>0.2</v>
      </c>
      <c r="M5" s="2" t="s">
        <v>1425</v>
      </c>
      <c r="N5" s="15">
        <f t="shared" si="0"/>
        <v>0.33333333333333337</v>
      </c>
    </row>
    <row r="6" spans="1:14" x14ac:dyDescent="0.45">
      <c r="A6" s="2" t="s">
        <v>122</v>
      </c>
      <c r="B6" s="2" t="s">
        <v>1379</v>
      </c>
      <c r="C6" s="2">
        <v>2</v>
      </c>
      <c r="D6" s="2" t="s">
        <v>1429</v>
      </c>
      <c r="E6" s="2" t="s">
        <v>1429</v>
      </c>
      <c r="F6" s="2">
        <v>0.1</v>
      </c>
      <c r="G6" s="2">
        <v>0.55600000000000005</v>
      </c>
      <c r="H6" s="2">
        <v>1.28</v>
      </c>
      <c r="I6" s="2">
        <v>1000</v>
      </c>
      <c r="J6" s="2">
        <v>0.9</v>
      </c>
      <c r="K6" s="2">
        <v>0.7</v>
      </c>
      <c r="L6" s="2">
        <v>0.7</v>
      </c>
      <c r="M6" s="2" t="s">
        <v>1427</v>
      </c>
      <c r="N6" s="15">
        <f t="shared" si="0"/>
        <v>0.17985611510791366</v>
      </c>
    </row>
    <row r="7" spans="1:14" x14ac:dyDescent="0.45">
      <c r="A7" s="2" t="s">
        <v>122</v>
      </c>
      <c r="B7" s="2" t="s">
        <v>1379</v>
      </c>
      <c r="C7" s="2">
        <v>3</v>
      </c>
      <c r="D7" s="2" t="s">
        <v>1430</v>
      </c>
      <c r="E7" s="2" t="s">
        <v>1430</v>
      </c>
      <c r="F7" s="2">
        <v>0.1</v>
      </c>
      <c r="G7" s="2">
        <v>0.53</v>
      </c>
      <c r="H7" s="2">
        <v>1280</v>
      </c>
      <c r="I7" s="2">
        <v>840</v>
      </c>
      <c r="J7" s="2">
        <v>0.9</v>
      </c>
      <c r="K7" s="2">
        <v>0.8</v>
      </c>
      <c r="L7" s="2">
        <v>0.8</v>
      </c>
      <c r="M7" s="2" t="s">
        <v>834</v>
      </c>
      <c r="N7" s="15">
        <f t="shared" si="0"/>
        <v>0.18867924528301888</v>
      </c>
    </row>
    <row r="8" spans="1:14" x14ac:dyDescent="0.45">
      <c r="A8" s="2" t="s">
        <v>122</v>
      </c>
      <c r="B8" s="2" t="s">
        <v>313</v>
      </c>
      <c r="C8" s="2">
        <v>1</v>
      </c>
      <c r="D8" s="2" t="s">
        <v>1431</v>
      </c>
      <c r="E8" s="2" t="s">
        <v>1431</v>
      </c>
      <c r="F8" s="2">
        <v>0.05</v>
      </c>
      <c r="G8" s="2">
        <v>0.03</v>
      </c>
      <c r="H8" s="2">
        <v>43</v>
      </c>
      <c r="I8" s="2">
        <v>1210</v>
      </c>
      <c r="J8" s="2">
        <v>0.9</v>
      </c>
      <c r="K8" s="2">
        <v>0.7</v>
      </c>
      <c r="L8" s="2">
        <v>0.7</v>
      </c>
      <c r="M8" s="2" t="s">
        <v>834</v>
      </c>
      <c r="N8" s="15">
        <f t="shared" si="0"/>
        <v>1.6666666666666667</v>
      </c>
    </row>
    <row r="9" spans="1:14" x14ac:dyDescent="0.45">
      <c r="A9" s="2" t="s">
        <v>122</v>
      </c>
      <c r="B9" s="2" t="s">
        <v>313</v>
      </c>
      <c r="C9" s="2">
        <v>2</v>
      </c>
      <c r="D9" s="2" t="s">
        <v>1432</v>
      </c>
      <c r="E9" s="2" t="s">
        <v>1432</v>
      </c>
      <c r="F9" s="2">
        <v>0.2</v>
      </c>
      <c r="G9" s="2">
        <v>1.95</v>
      </c>
      <c r="H9" s="2">
        <v>2240</v>
      </c>
      <c r="I9" s="2">
        <v>900</v>
      </c>
      <c r="J9" s="2">
        <v>0.9</v>
      </c>
      <c r="K9" s="2">
        <v>0.8</v>
      </c>
      <c r="L9" s="2">
        <v>0.8</v>
      </c>
      <c r="M9" s="2" t="s">
        <v>834</v>
      </c>
      <c r="N9" s="15">
        <f t="shared" si="0"/>
        <v>0.10256410256410257</v>
      </c>
    </row>
    <row r="10" spans="1:14" x14ac:dyDescent="0.45">
      <c r="A10" s="2" t="s">
        <v>122</v>
      </c>
      <c r="B10" s="2" t="s">
        <v>296</v>
      </c>
      <c r="C10" s="2">
        <v>1</v>
      </c>
      <c r="D10" s="2" t="s">
        <v>1433</v>
      </c>
      <c r="E10" s="2" t="s">
        <v>1434</v>
      </c>
      <c r="F10" s="2">
        <v>5.0000000000000001E-3</v>
      </c>
      <c r="G10" s="2">
        <v>220</v>
      </c>
      <c r="H10" s="2">
        <v>2700</v>
      </c>
      <c r="I10" s="2">
        <v>896</v>
      </c>
      <c r="J10" s="2">
        <v>0.2</v>
      </c>
      <c r="K10" s="2">
        <v>0.7</v>
      </c>
      <c r="L10" s="2">
        <v>0.7</v>
      </c>
      <c r="M10" s="2" t="s">
        <v>834</v>
      </c>
      <c r="N10" s="15">
        <f t="shared" si="0"/>
        <v>2.2727272727272729E-5</v>
      </c>
    </row>
    <row r="11" spans="1:14" x14ac:dyDescent="0.45">
      <c r="A11" s="2" t="s">
        <v>122</v>
      </c>
      <c r="B11" s="2" t="s">
        <v>296</v>
      </c>
      <c r="C11" s="2">
        <v>2</v>
      </c>
      <c r="D11" s="2" t="s">
        <v>1435</v>
      </c>
      <c r="E11" s="2" t="s">
        <v>1436</v>
      </c>
      <c r="F11" s="2">
        <v>3.5000000000000003E-2</v>
      </c>
      <c r="G11" s="2">
        <v>0.28499999999999998</v>
      </c>
      <c r="H11" s="2">
        <v>1</v>
      </c>
      <c r="I11" s="2">
        <v>1004</v>
      </c>
      <c r="J11" s="2">
        <v>0.7</v>
      </c>
      <c r="K11" s="2">
        <v>0.7</v>
      </c>
      <c r="L11" s="2">
        <v>0.7</v>
      </c>
      <c r="M11" s="2" t="s">
        <v>834</v>
      </c>
      <c r="N11" s="15">
        <f t="shared" si="0"/>
        <v>0.12280701754385967</v>
      </c>
    </row>
    <row r="12" spans="1:14" x14ac:dyDescent="0.45">
      <c r="A12" s="2" t="s">
        <v>122</v>
      </c>
      <c r="B12" s="2" t="s">
        <v>296</v>
      </c>
      <c r="C12" s="2">
        <v>3</v>
      </c>
      <c r="D12" s="2" t="s">
        <v>1437</v>
      </c>
      <c r="E12" s="2" t="s">
        <v>1438</v>
      </c>
      <c r="F12" s="2">
        <v>0.1</v>
      </c>
      <c r="G12" s="2">
        <v>0.04</v>
      </c>
      <c r="H12" s="2">
        <v>30</v>
      </c>
      <c r="I12" s="2">
        <v>1452</v>
      </c>
      <c r="J12" s="2">
        <v>0.95</v>
      </c>
      <c r="K12" s="2">
        <v>0.7</v>
      </c>
      <c r="L12" s="2">
        <v>0.7</v>
      </c>
      <c r="M12" s="2" t="s">
        <v>834</v>
      </c>
      <c r="N12" s="15">
        <f t="shared" si="0"/>
        <v>2.5</v>
      </c>
    </row>
    <row r="13" spans="1:14" x14ac:dyDescent="0.45">
      <c r="A13" s="2" t="s">
        <v>122</v>
      </c>
      <c r="B13" s="2" t="s">
        <v>296</v>
      </c>
      <c r="C13" s="2">
        <v>4</v>
      </c>
      <c r="D13" s="2" t="s">
        <v>1439</v>
      </c>
      <c r="E13" s="2" t="s">
        <v>1440</v>
      </c>
      <c r="F13" s="2">
        <v>5.0000000000000001E-3</v>
      </c>
      <c r="G13" s="2">
        <v>0.23</v>
      </c>
      <c r="H13" s="2">
        <v>1100</v>
      </c>
      <c r="I13" s="2">
        <v>1000</v>
      </c>
      <c r="J13" s="2">
        <v>0.95</v>
      </c>
      <c r="K13" s="2">
        <v>0.7</v>
      </c>
      <c r="L13" s="2">
        <v>0.7</v>
      </c>
      <c r="M13" s="2" t="s">
        <v>834</v>
      </c>
      <c r="N13" s="15">
        <f t="shared" si="0"/>
        <v>2.1739130434782608E-2</v>
      </c>
    </row>
    <row r="14" spans="1:14" x14ac:dyDescent="0.45">
      <c r="A14" s="2" t="s">
        <v>122</v>
      </c>
      <c r="B14" s="2" t="s">
        <v>296</v>
      </c>
      <c r="C14" s="2">
        <v>5</v>
      </c>
      <c r="D14" s="2" t="s">
        <v>1441</v>
      </c>
      <c r="E14" s="2" t="s">
        <v>1442</v>
      </c>
      <c r="F14" s="2">
        <v>0.26500000000000001</v>
      </c>
      <c r="G14" s="2">
        <v>1</v>
      </c>
      <c r="H14" s="2">
        <v>1</v>
      </c>
      <c r="I14" s="2">
        <v>1004</v>
      </c>
      <c r="J14" s="2">
        <v>0.7</v>
      </c>
      <c r="K14" s="2">
        <v>0.7</v>
      </c>
      <c r="L14" s="2">
        <v>0.7</v>
      </c>
      <c r="M14" s="2" t="s">
        <v>834</v>
      </c>
      <c r="N14" s="15">
        <f t="shared" si="0"/>
        <v>0.26500000000000001</v>
      </c>
    </row>
    <row r="15" spans="1:14" x14ac:dyDescent="0.45">
      <c r="A15" s="2" t="s">
        <v>122</v>
      </c>
      <c r="B15" s="2" t="s">
        <v>296</v>
      </c>
      <c r="C15" s="2">
        <v>6</v>
      </c>
      <c r="D15" s="2" t="s">
        <v>1443</v>
      </c>
      <c r="E15" s="2" t="s">
        <v>1444</v>
      </c>
      <c r="F15" s="2">
        <v>0.42499999999999999</v>
      </c>
      <c r="G15" s="2">
        <v>1.046</v>
      </c>
      <c r="H15" s="2">
        <v>2300</v>
      </c>
      <c r="I15" s="2">
        <v>657</v>
      </c>
      <c r="J15" s="2">
        <v>0.95</v>
      </c>
      <c r="K15" s="2">
        <v>0.7</v>
      </c>
      <c r="L15" s="2">
        <v>0.7</v>
      </c>
      <c r="M15" s="2" t="s">
        <v>834</v>
      </c>
      <c r="N15" s="15">
        <f t="shared" si="0"/>
        <v>0.40630975143403442</v>
      </c>
    </row>
    <row r="16" spans="1:14" x14ac:dyDescent="0.45">
      <c r="A16" s="2" t="s">
        <v>122</v>
      </c>
      <c r="B16" s="2" t="s">
        <v>296</v>
      </c>
      <c r="C16" s="2">
        <v>7</v>
      </c>
      <c r="D16" s="2" t="s">
        <v>1445</v>
      </c>
      <c r="E16" s="2" t="s">
        <v>1446</v>
      </c>
      <c r="F16" s="2">
        <v>0.01</v>
      </c>
      <c r="G16" s="2">
        <v>0.35</v>
      </c>
      <c r="H16" s="2">
        <v>1200</v>
      </c>
      <c r="I16" s="2">
        <v>999</v>
      </c>
      <c r="J16" s="2">
        <v>0.9</v>
      </c>
      <c r="K16" s="2">
        <v>0.7</v>
      </c>
      <c r="L16" s="2">
        <v>0.7</v>
      </c>
      <c r="M16" s="2" t="s">
        <v>834</v>
      </c>
      <c r="N16" s="15">
        <f t="shared" si="0"/>
        <v>2.8571428571428574E-2</v>
      </c>
    </row>
    <row r="17" spans="1:14" x14ac:dyDescent="0.45">
      <c r="A17" s="2" t="s">
        <v>122</v>
      </c>
      <c r="B17" s="2" t="s">
        <v>287</v>
      </c>
      <c r="C17" s="2">
        <v>1</v>
      </c>
      <c r="D17" s="2" t="s">
        <v>1433</v>
      </c>
      <c r="E17" s="2" t="s">
        <v>1434</v>
      </c>
      <c r="F17" s="2">
        <v>5.0000000000000001E-3</v>
      </c>
      <c r="G17" s="2">
        <v>220</v>
      </c>
      <c r="H17" s="2">
        <v>2700</v>
      </c>
      <c r="I17" s="2">
        <v>896</v>
      </c>
      <c r="J17" s="2">
        <v>0.2</v>
      </c>
      <c r="K17" s="2">
        <v>0.7</v>
      </c>
      <c r="L17" s="2">
        <v>0.7</v>
      </c>
      <c r="M17" s="2" t="s">
        <v>834</v>
      </c>
      <c r="N17" s="15">
        <f t="shared" si="0"/>
        <v>2.2727272727272729E-5</v>
      </c>
    </row>
    <row r="18" spans="1:14" x14ac:dyDescent="0.45">
      <c r="A18" s="2" t="s">
        <v>122</v>
      </c>
      <c r="B18" s="2" t="s">
        <v>287</v>
      </c>
      <c r="C18" s="2">
        <v>2</v>
      </c>
      <c r="D18" s="2" t="s">
        <v>1435</v>
      </c>
      <c r="E18" s="2" t="s">
        <v>1436</v>
      </c>
      <c r="F18" s="2">
        <v>3.5000000000000003E-2</v>
      </c>
      <c r="G18" s="2">
        <v>0.28499999999999998</v>
      </c>
      <c r="H18" s="2">
        <v>1</v>
      </c>
      <c r="I18" s="2">
        <v>1004</v>
      </c>
      <c r="J18" s="2">
        <v>0.7</v>
      </c>
      <c r="K18" s="2">
        <v>0.7</v>
      </c>
      <c r="L18" s="2">
        <v>0.7</v>
      </c>
      <c r="M18" s="2" t="s">
        <v>834</v>
      </c>
      <c r="N18" s="15">
        <f t="shared" si="0"/>
        <v>0.12280701754385967</v>
      </c>
    </row>
    <row r="19" spans="1:14" x14ac:dyDescent="0.45">
      <c r="A19" s="2" t="s">
        <v>122</v>
      </c>
      <c r="B19" s="2" t="s">
        <v>287</v>
      </c>
      <c r="C19" s="2">
        <v>3</v>
      </c>
      <c r="D19" s="2" t="s">
        <v>1447</v>
      </c>
      <c r="E19" s="2" t="s">
        <v>1438</v>
      </c>
      <c r="F19" s="2">
        <v>0.06</v>
      </c>
      <c r="G19" s="2">
        <v>0.04</v>
      </c>
      <c r="H19" s="2">
        <v>30</v>
      </c>
      <c r="I19" s="2">
        <v>1452</v>
      </c>
      <c r="J19" s="2">
        <v>0.95</v>
      </c>
      <c r="K19" s="2">
        <v>0.7</v>
      </c>
      <c r="L19" s="2">
        <v>0.7</v>
      </c>
      <c r="M19" s="2" t="s">
        <v>834</v>
      </c>
      <c r="N19" s="15">
        <f t="shared" si="0"/>
        <v>1.5</v>
      </c>
    </row>
    <row r="20" spans="1:14" x14ac:dyDescent="0.45">
      <c r="A20" s="2" t="s">
        <v>122</v>
      </c>
      <c r="B20" s="2" t="s">
        <v>287</v>
      </c>
      <c r="C20" s="2">
        <v>4</v>
      </c>
      <c r="D20" s="2" t="s">
        <v>1439</v>
      </c>
      <c r="E20" s="2" t="s">
        <v>1440</v>
      </c>
      <c r="F20" s="2">
        <v>5.0000000000000001E-3</v>
      </c>
      <c r="G20" s="2">
        <v>0.23</v>
      </c>
      <c r="H20" s="2">
        <v>1100</v>
      </c>
      <c r="I20" s="2">
        <v>1000</v>
      </c>
      <c r="J20" s="2">
        <v>0.95</v>
      </c>
      <c r="K20" s="2">
        <v>0.7</v>
      </c>
      <c r="L20" s="2">
        <v>0.7</v>
      </c>
      <c r="M20" s="2" t="s">
        <v>834</v>
      </c>
      <c r="N20" s="15">
        <f t="shared" si="0"/>
        <v>2.1739130434782608E-2</v>
      </c>
    </row>
    <row r="21" spans="1:14" x14ac:dyDescent="0.45">
      <c r="A21" s="2" t="s">
        <v>122</v>
      </c>
      <c r="B21" s="2" t="s">
        <v>287</v>
      </c>
      <c r="C21" s="2">
        <v>5</v>
      </c>
      <c r="D21" s="2" t="s">
        <v>1448</v>
      </c>
      <c r="E21" s="2" t="s">
        <v>1442</v>
      </c>
      <c r="F21" s="2">
        <v>0.2</v>
      </c>
      <c r="G21" s="2">
        <v>1</v>
      </c>
      <c r="H21" s="2">
        <v>1</v>
      </c>
      <c r="I21" s="2">
        <v>1004</v>
      </c>
      <c r="J21" s="2">
        <v>0.7</v>
      </c>
      <c r="K21" s="2">
        <v>0.7</v>
      </c>
      <c r="L21" s="2">
        <v>0.7</v>
      </c>
      <c r="M21" s="2" t="s">
        <v>834</v>
      </c>
      <c r="N21" s="15">
        <f t="shared" si="0"/>
        <v>0.2</v>
      </c>
    </row>
    <row r="22" spans="1:14" x14ac:dyDescent="0.45">
      <c r="A22" s="2" t="s">
        <v>122</v>
      </c>
      <c r="B22" s="2" t="s">
        <v>287</v>
      </c>
      <c r="C22" s="2">
        <v>6</v>
      </c>
      <c r="D22" s="2" t="s">
        <v>1449</v>
      </c>
      <c r="E22" s="2" t="s">
        <v>1450</v>
      </c>
      <c r="F22" s="2">
        <v>6.5000000000000002E-2</v>
      </c>
      <c r="G22" s="2">
        <v>0.04</v>
      </c>
      <c r="H22" s="2">
        <v>80</v>
      </c>
      <c r="I22" s="2">
        <v>1028</v>
      </c>
      <c r="J22" s="2">
        <v>0.95</v>
      </c>
      <c r="K22" s="2">
        <v>0.7</v>
      </c>
      <c r="L22" s="2">
        <v>0.7</v>
      </c>
      <c r="M22" s="2" t="s">
        <v>834</v>
      </c>
      <c r="N22" s="15">
        <f t="shared" si="0"/>
        <v>1.625</v>
      </c>
    </row>
    <row r="23" spans="1:14" x14ac:dyDescent="0.45">
      <c r="A23" s="2" t="s">
        <v>122</v>
      </c>
      <c r="B23" s="2" t="s">
        <v>287</v>
      </c>
      <c r="C23" s="2">
        <v>7</v>
      </c>
      <c r="D23" s="2" t="s">
        <v>1451</v>
      </c>
      <c r="E23" s="2" t="s">
        <v>1452</v>
      </c>
      <c r="F23" s="2">
        <v>2.5000000000000001E-2</v>
      </c>
      <c r="G23" s="2">
        <v>0.21</v>
      </c>
      <c r="H23" s="2">
        <v>900</v>
      </c>
      <c r="I23" s="2">
        <v>1000</v>
      </c>
      <c r="J23" s="2">
        <v>0.9</v>
      </c>
      <c r="K23" s="2">
        <v>0.7</v>
      </c>
      <c r="L23" s="2">
        <v>0.7</v>
      </c>
      <c r="M23" s="2" t="s">
        <v>834</v>
      </c>
      <c r="N23" s="15">
        <f t="shared" si="0"/>
        <v>0.11904761904761905</v>
      </c>
    </row>
    <row r="24" spans="1:14" x14ac:dyDescent="0.45">
      <c r="A24" s="2" t="s">
        <v>122</v>
      </c>
      <c r="B24" s="2" t="s">
        <v>287</v>
      </c>
      <c r="C24" s="2">
        <v>8</v>
      </c>
      <c r="D24" s="2" t="s">
        <v>1445</v>
      </c>
      <c r="E24" s="2" t="s">
        <v>1446</v>
      </c>
      <c r="F24" s="2">
        <v>0.01</v>
      </c>
      <c r="G24" s="2">
        <v>0.35</v>
      </c>
      <c r="H24" s="2">
        <v>1200</v>
      </c>
      <c r="I24" s="2">
        <v>999</v>
      </c>
      <c r="J24" s="2">
        <v>0.9</v>
      </c>
      <c r="K24" s="2">
        <v>0.7</v>
      </c>
      <c r="L24" s="2">
        <v>0.7</v>
      </c>
      <c r="M24" s="2" t="s">
        <v>834</v>
      </c>
      <c r="N24" s="15">
        <f t="shared" si="0"/>
        <v>2.8571428571428574E-2</v>
      </c>
    </row>
    <row r="25" spans="1:14" x14ac:dyDescent="0.45">
      <c r="A25" s="2" t="s">
        <v>122</v>
      </c>
      <c r="B25" s="2" t="s">
        <v>294</v>
      </c>
      <c r="C25" s="2">
        <v>1</v>
      </c>
      <c r="D25" s="2" t="s">
        <v>1433</v>
      </c>
      <c r="E25" s="2" t="s">
        <v>1434</v>
      </c>
      <c r="F25" s="2">
        <v>5.0000000000000001E-3</v>
      </c>
      <c r="G25" s="2">
        <v>220</v>
      </c>
      <c r="H25" s="2">
        <v>2700</v>
      </c>
      <c r="I25" s="2">
        <v>896</v>
      </c>
      <c r="J25" s="2">
        <v>0.2</v>
      </c>
      <c r="K25" s="2">
        <v>0.7</v>
      </c>
      <c r="L25" s="2">
        <v>0.7</v>
      </c>
      <c r="M25" s="2" t="s">
        <v>834</v>
      </c>
      <c r="N25" s="15">
        <f t="shared" si="0"/>
        <v>2.2727272727272729E-5</v>
      </c>
    </row>
    <row r="26" spans="1:14" x14ac:dyDescent="0.45">
      <c r="A26" s="2" t="s">
        <v>122</v>
      </c>
      <c r="B26" s="2" t="s">
        <v>294</v>
      </c>
      <c r="C26" s="2">
        <v>2</v>
      </c>
      <c r="D26" s="2" t="s">
        <v>1435</v>
      </c>
      <c r="E26" s="2" t="s">
        <v>1436</v>
      </c>
      <c r="F26" s="2">
        <v>3.5000000000000003E-2</v>
      </c>
      <c r="G26" s="2">
        <v>0.28499999999999998</v>
      </c>
      <c r="H26" s="2">
        <v>1</v>
      </c>
      <c r="I26" s="2">
        <v>1004</v>
      </c>
      <c r="J26" s="2">
        <v>0.7</v>
      </c>
      <c r="K26" s="2">
        <v>0.7</v>
      </c>
      <c r="L26" s="2">
        <v>0.7</v>
      </c>
      <c r="M26" s="2" t="s">
        <v>834</v>
      </c>
      <c r="N26" s="15">
        <f t="shared" si="0"/>
        <v>0.12280701754385967</v>
      </c>
    </row>
    <row r="27" spans="1:14" x14ac:dyDescent="0.45">
      <c r="A27" s="2" t="s">
        <v>122</v>
      </c>
      <c r="B27" s="2" t="s">
        <v>294</v>
      </c>
      <c r="C27" s="2">
        <v>3</v>
      </c>
      <c r="D27" s="2" t="s">
        <v>1437</v>
      </c>
      <c r="E27" s="2" t="s">
        <v>1438</v>
      </c>
      <c r="F27" s="2">
        <v>0.1</v>
      </c>
      <c r="G27" s="2">
        <v>0.04</v>
      </c>
      <c r="H27" s="2">
        <v>30</v>
      </c>
      <c r="I27" s="2">
        <v>1452</v>
      </c>
      <c r="J27" s="2">
        <v>0.95</v>
      </c>
      <c r="K27" s="2">
        <v>0.7</v>
      </c>
      <c r="L27" s="2">
        <v>0.7</v>
      </c>
      <c r="M27" s="2" t="s">
        <v>834</v>
      </c>
      <c r="N27" s="15">
        <f t="shared" si="0"/>
        <v>2.5</v>
      </c>
    </row>
    <row r="28" spans="1:14" x14ac:dyDescent="0.45">
      <c r="A28" s="2" t="s">
        <v>122</v>
      </c>
      <c r="B28" s="2" t="s">
        <v>294</v>
      </c>
      <c r="C28" s="2">
        <v>4</v>
      </c>
      <c r="D28" s="2" t="s">
        <v>1439</v>
      </c>
      <c r="E28" s="2" t="s">
        <v>1440</v>
      </c>
      <c r="F28" s="2">
        <v>5.0000000000000001E-3</v>
      </c>
      <c r="G28" s="2">
        <v>0.23</v>
      </c>
      <c r="H28" s="2">
        <v>1100</v>
      </c>
      <c r="I28" s="2">
        <v>1000</v>
      </c>
      <c r="J28" s="2">
        <v>0.95</v>
      </c>
      <c r="K28" s="2">
        <v>0.7</v>
      </c>
      <c r="L28" s="2">
        <v>0.7</v>
      </c>
      <c r="M28" s="2" t="s">
        <v>834</v>
      </c>
      <c r="N28" s="15">
        <f t="shared" si="0"/>
        <v>2.1739130434782608E-2</v>
      </c>
    </row>
    <row r="29" spans="1:14" x14ac:dyDescent="0.45">
      <c r="A29" s="2" t="s">
        <v>122</v>
      </c>
      <c r="B29" s="2" t="s">
        <v>294</v>
      </c>
      <c r="C29" s="2">
        <v>5</v>
      </c>
      <c r="D29" s="2" t="s">
        <v>1441</v>
      </c>
      <c r="E29" s="2" t="s">
        <v>1442</v>
      </c>
      <c r="F29" s="2">
        <v>0.26500000000000001</v>
      </c>
      <c r="G29" s="2">
        <v>1</v>
      </c>
      <c r="H29" s="2">
        <v>1</v>
      </c>
      <c r="I29" s="2">
        <v>1004</v>
      </c>
      <c r="J29" s="2">
        <v>0.7</v>
      </c>
      <c r="K29" s="2">
        <v>0.7</v>
      </c>
      <c r="L29" s="2">
        <v>0.7</v>
      </c>
      <c r="M29" s="2" t="s">
        <v>834</v>
      </c>
      <c r="N29" s="15">
        <f t="shared" si="0"/>
        <v>0.26500000000000001</v>
      </c>
    </row>
    <row r="30" spans="1:14" x14ac:dyDescent="0.45">
      <c r="A30" s="2" t="s">
        <v>122</v>
      </c>
      <c r="B30" s="2" t="s">
        <v>294</v>
      </c>
      <c r="C30" s="2">
        <v>6</v>
      </c>
      <c r="D30" s="2" t="s">
        <v>1443</v>
      </c>
      <c r="E30" s="2" t="s">
        <v>1444</v>
      </c>
      <c r="F30" s="2">
        <v>0.42499999999999999</v>
      </c>
      <c r="G30" s="2">
        <v>1.046</v>
      </c>
      <c r="H30" s="2">
        <v>2300</v>
      </c>
      <c r="I30" s="2">
        <v>657</v>
      </c>
      <c r="J30" s="2">
        <v>0.95</v>
      </c>
      <c r="K30" s="2">
        <v>0.7</v>
      </c>
      <c r="L30" s="2">
        <v>0.7</v>
      </c>
      <c r="M30" s="2" t="s">
        <v>834</v>
      </c>
      <c r="N30" s="15">
        <f t="shared" si="0"/>
        <v>0.40630975143403442</v>
      </c>
    </row>
    <row r="31" spans="1:14" x14ac:dyDescent="0.45">
      <c r="A31" s="2" t="s">
        <v>122</v>
      </c>
      <c r="B31" s="2" t="s">
        <v>294</v>
      </c>
      <c r="C31" s="2">
        <v>7</v>
      </c>
      <c r="D31" s="2" t="s">
        <v>1449</v>
      </c>
      <c r="E31" s="2" t="s">
        <v>1450</v>
      </c>
      <c r="F31" s="2">
        <v>6.5000000000000002E-2</v>
      </c>
      <c r="G31" s="2">
        <v>0.04</v>
      </c>
      <c r="H31" s="2">
        <v>80</v>
      </c>
      <c r="I31" s="2">
        <v>1028</v>
      </c>
      <c r="J31" s="2">
        <v>0.95</v>
      </c>
      <c r="K31" s="2">
        <v>0.7</v>
      </c>
      <c r="L31" s="2">
        <v>0.7</v>
      </c>
      <c r="M31" s="2" t="s">
        <v>834</v>
      </c>
      <c r="N31" s="15">
        <f t="shared" si="0"/>
        <v>1.625</v>
      </c>
    </row>
    <row r="32" spans="1:14" x14ac:dyDescent="0.45">
      <c r="A32" s="2" t="s">
        <v>122</v>
      </c>
      <c r="B32" s="2" t="s">
        <v>294</v>
      </c>
      <c r="C32" s="2">
        <v>8</v>
      </c>
      <c r="D32" s="2" t="s">
        <v>1451</v>
      </c>
      <c r="E32" s="2" t="s">
        <v>1452</v>
      </c>
      <c r="F32" s="2">
        <v>2.5000000000000001E-2</v>
      </c>
      <c r="G32" s="2">
        <v>0.21</v>
      </c>
      <c r="H32" s="2">
        <v>900</v>
      </c>
      <c r="I32" s="2">
        <v>1000</v>
      </c>
      <c r="J32" s="2">
        <v>0.9</v>
      </c>
      <c r="K32" s="2">
        <v>0.7</v>
      </c>
      <c r="L32" s="2">
        <v>0.7</v>
      </c>
      <c r="M32" s="2" t="s">
        <v>834</v>
      </c>
      <c r="N32" s="15">
        <f t="shared" si="0"/>
        <v>0.11904761904761905</v>
      </c>
    </row>
    <row r="33" spans="1:14" x14ac:dyDescent="0.45">
      <c r="A33" s="2" t="s">
        <v>122</v>
      </c>
      <c r="B33" s="2" t="s">
        <v>294</v>
      </c>
      <c r="C33" s="2">
        <v>9</v>
      </c>
      <c r="D33" s="2" t="s">
        <v>1445</v>
      </c>
      <c r="E33" s="2" t="s">
        <v>1446</v>
      </c>
      <c r="F33" s="2">
        <v>0.01</v>
      </c>
      <c r="G33" s="2">
        <v>0.35</v>
      </c>
      <c r="H33" s="2">
        <v>1200</v>
      </c>
      <c r="I33" s="2">
        <v>999</v>
      </c>
      <c r="J33" s="2">
        <v>0.9</v>
      </c>
      <c r="K33" s="2">
        <v>0.7</v>
      </c>
      <c r="L33" s="2">
        <v>0.7</v>
      </c>
      <c r="M33" s="2" t="s">
        <v>834</v>
      </c>
      <c r="N33" s="15">
        <f t="shared" si="0"/>
        <v>2.8571428571428574E-2</v>
      </c>
    </row>
    <row r="34" spans="1:14" x14ac:dyDescent="0.45">
      <c r="A34" s="2" t="s">
        <v>122</v>
      </c>
      <c r="B34" s="2" t="s">
        <v>298</v>
      </c>
      <c r="C34" s="2">
        <v>1</v>
      </c>
      <c r="D34" s="2" t="s">
        <v>1433</v>
      </c>
      <c r="E34" s="2" t="s">
        <v>1434</v>
      </c>
      <c r="F34" s="2">
        <v>5.0000000000000001E-3</v>
      </c>
      <c r="G34" s="2">
        <v>220</v>
      </c>
      <c r="H34" s="2">
        <v>2700</v>
      </c>
      <c r="I34" s="2">
        <v>896</v>
      </c>
      <c r="J34" s="2">
        <v>0.2</v>
      </c>
      <c r="K34" s="2">
        <v>0.7</v>
      </c>
      <c r="L34" s="2">
        <v>0.7</v>
      </c>
      <c r="M34" s="2" t="s">
        <v>834</v>
      </c>
      <c r="N34" s="15">
        <f t="shared" si="0"/>
        <v>2.2727272727272729E-5</v>
      </c>
    </row>
    <row r="35" spans="1:14" x14ac:dyDescent="0.45">
      <c r="A35" s="2" t="s">
        <v>122</v>
      </c>
      <c r="B35" s="2" t="s">
        <v>298</v>
      </c>
      <c r="C35" s="2">
        <v>2</v>
      </c>
      <c r="D35" s="2" t="s">
        <v>1435</v>
      </c>
      <c r="E35" s="2" t="s">
        <v>1436</v>
      </c>
      <c r="F35" s="2">
        <v>3.5000000000000003E-2</v>
      </c>
      <c r="G35" s="2">
        <v>0.28499999999999998</v>
      </c>
      <c r="H35" s="2">
        <v>1</v>
      </c>
      <c r="I35" s="2">
        <v>1004</v>
      </c>
      <c r="J35" s="2">
        <v>0.7</v>
      </c>
      <c r="K35" s="2">
        <v>0.7</v>
      </c>
      <c r="L35" s="2">
        <v>0.7</v>
      </c>
      <c r="M35" s="2" t="s">
        <v>834</v>
      </c>
      <c r="N35" s="15">
        <f t="shared" si="0"/>
        <v>0.12280701754385967</v>
      </c>
    </row>
    <row r="36" spans="1:14" x14ac:dyDescent="0.45">
      <c r="A36" s="2" t="s">
        <v>122</v>
      </c>
      <c r="B36" s="2" t="s">
        <v>298</v>
      </c>
      <c r="C36" s="2">
        <v>3</v>
      </c>
      <c r="D36" s="2" t="s">
        <v>1437</v>
      </c>
      <c r="E36" s="2" t="s">
        <v>1438</v>
      </c>
      <c r="F36" s="2">
        <v>0.1</v>
      </c>
      <c r="G36" s="2">
        <v>0.04</v>
      </c>
      <c r="H36" s="2">
        <v>30</v>
      </c>
      <c r="I36" s="2">
        <v>1452</v>
      </c>
      <c r="J36" s="2">
        <v>0.95</v>
      </c>
      <c r="K36" s="2">
        <v>0.7</v>
      </c>
      <c r="L36" s="2">
        <v>0.7</v>
      </c>
      <c r="M36" s="2" t="s">
        <v>834</v>
      </c>
      <c r="N36" s="15">
        <f t="shared" si="0"/>
        <v>2.5</v>
      </c>
    </row>
    <row r="37" spans="1:14" x14ac:dyDescent="0.45">
      <c r="A37" s="2" t="s">
        <v>122</v>
      </c>
      <c r="B37" s="2" t="s">
        <v>298</v>
      </c>
      <c r="C37" s="2">
        <v>4</v>
      </c>
      <c r="D37" s="2" t="s">
        <v>1439</v>
      </c>
      <c r="E37" s="2" t="s">
        <v>1440</v>
      </c>
      <c r="F37" s="2">
        <v>5.0000000000000001E-3</v>
      </c>
      <c r="G37" s="2">
        <v>0.23</v>
      </c>
      <c r="H37" s="2">
        <v>1100</v>
      </c>
      <c r="I37" s="2">
        <v>1000</v>
      </c>
      <c r="J37" s="2">
        <v>0.95</v>
      </c>
      <c r="K37" s="2">
        <v>0.7</v>
      </c>
      <c r="L37" s="2">
        <v>0.7</v>
      </c>
      <c r="M37" s="2" t="s">
        <v>834</v>
      </c>
      <c r="N37" s="15">
        <f t="shared" si="0"/>
        <v>2.1739130434782608E-2</v>
      </c>
    </row>
    <row r="38" spans="1:14" x14ac:dyDescent="0.45">
      <c r="A38" s="2" t="s">
        <v>122</v>
      </c>
      <c r="B38" s="2" t="s">
        <v>298</v>
      </c>
      <c r="C38" s="2">
        <v>5</v>
      </c>
      <c r="D38" s="2" t="s">
        <v>1441</v>
      </c>
      <c r="E38" s="2" t="s">
        <v>1442</v>
      </c>
      <c r="F38" s="2">
        <v>0.26500000000000001</v>
      </c>
      <c r="G38" s="2">
        <v>1</v>
      </c>
      <c r="H38" s="2">
        <v>1</v>
      </c>
      <c r="I38" s="2">
        <v>1004</v>
      </c>
      <c r="J38" s="2">
        <v>0.7</v>
      </c>
      <c r="K38" s="2">
        <v>0.7</v>
      </c>
      <c r="L38" s="2">
        <v>0.7</v>
      </c>
      <c r="M38" s="2" t="s">
        <v>834</v>
      </c>
      <c r="N38" s="15">
        <f t="shared" si="0"/>
        <v>0.26500000000000001</v>
      </c>
    </row>
    <row r="39" spans="1:14" x14ac:dyDescent="0.45">
      <c r="A39" s="2" t="s">
        <v>122</v>
      </c>
      <c r="B39" s="2" t="s">
        <v>298</v>
      </c>
      <c r="C39" s="2">
        <v>6</v>
      </c>
      <c r="D39" s="2" t="s">
        <v>1453</v>
      </c>
      <c r="E39" s="2" t="s">
        <v>1436</v>
      </c>
      <c r="F39" s="2">
        <v>0.42499999999999999</v>
      </c>
      <c r="G39" s="2">
        <v>0.28499999999999998</v>
      </c>
      <c r="H39" s="2">
        <v>1</v>
      </c>
      <c r="I39" s="2">
        <v>1004</v>
      </c>
      <c r="J39" s="2">
        <v>0.7</v>
      </c>
      <c r="K39" s="2">
        <v>0.7</v>
      </c>
      <c r="L39" s="2">
        <v>0.7</v>
      </c>
      <c r="M39" s="2" t="s">
        <v>834</v>
      </c>
      <c r="N39" s="15">
        <f t="shared" si="0"/>
        <v>1.4912280701754388</v>
      </c>
    </row>
    <row r="40" spans="1:14" x14ac:dyDescent="0.45">
      <c r="A40" s="2" t="s">
        <v>122</v>
      </c>
      <c r="B40" s="2" t="s">
        <v>298</v>
      </c>
      <c r="C40" s="2">
        <v>7</v>
      </c>
      <c r="D40" s="2" t="s">
        <v>1449</v>
      </c>
      <c r="E40" s="2" t="s">
        <v>1450</v>
      </c>
      <c r="F40" s="2">
        <v>6.5000000000000002E-2</v>
      </c>
      <c r="G40" s="2">
        <v>0.04</v>
      </c>
      <c r="H40" s="2">
        <v>80</v>
      </c>
      <c r="I40" s="2">
        <v>1028</v>
      </c>
      <c r="J40" s="2">
        <v>0.95</v>
      </c>
      <c r="K40" s="2">
        <v>0.7</v>
      </c>
      <c r="L40" s="2">
        <v>0.7</v>
      </c>
      <c r="M40" s="2" t="s">
        <v>834</v>
      </c>
      <c r="N40" s="15">
        <f t="shared" si="0"/>
        <v>1.625</v>
      </c>
    </row>
    <row r="41" spans="1:14" x14ac:dyDescent="0.45">
      <c r="A41" s="2" t="s">
        <v>122</v>
      </c>
      <c r="B41" s="2" t="s">
        <v>298</v>
      </c>
      <c r="C41" s="2">
        <v>8</v>
      </c>
      <c r="D41" s="2" t="s">
        <v>1451</v>
      </c>
      <c r="E41" s="2" t="s">
        <v>1452</v>
      </c>
      <c r="F41" s="2">
        <v>2.5000000000000001E-2</v>
      </c>
      <c r="G41" s="2">
        <v>0.21</v>
      </c>
      <c r="H41" s="2">
        <v>900</v>
      </c>
      <c r="I41" s="2">
        <v>1000</v>
      </c>
      <c r="J41" s="2">
        <v>0.9</v>
      </c>
      <c r="K41" s="2">
        <v>0.7</v>
      </c>
      <c r="L41" s="2">
        <v>0.7</v>
      </c>
      <c r="M41" s="2" t="s">
        <v>834</v>
      </c>
      <c r="N41" s="15">
        <f t="shared" si="0"/>
        <v>0.11904761904761905</v>
      </c>
    </row>
    <row r="42" spans="1:14" x14ac:dyDescent="0.45">
      <c r="A42" s="2" t="s">
        <v>122</v>
      </c>
      <c r="B42" s="2" t="s">
        <v>298</v>
      </c>
      <c r="C42" s="2">
        <v>9</v>
      </c>
      <c r="D42" s="2" t="s">
        <v>1445</v>
      </c>
      <c r="E42" s="2" t="s">
        <v>1446</v>
      </c>
      <c r="F42" s="2">
        <v>0.01</v>
      </c>
      <c r="G42" s="2">
        <v>0.35</v>
      </c>
      <c r="H42" s="2">
        <v>1200</v>
      </c>
      <c r="I42" s="2">
        <v>999</v>
      </c>
      <c r="J42" s="2">
        <v>0.9</v>
      </c>
      <c r="K42" s="2">
        <v>0.7</v>
      </c>
      <c r="L42" s="2">
        <v>0.7</v>
      </c>
      <c r="M42" s="2" t="s">
        <v>834</v>
      </c>
      <c r="N42" s="15">
        <f t="shared" si="0"/>
        <v>2.8571428571428574E-2</v>
      </c>
    </row>
    <row r="43" spans="1:14" x14ac:dyDescent="0.45">
      <c r="A43" s="2" t="s">
        <v>122</v>
      </c>
      <c r="B43" s="2" t="s">
        <v>291</v>
      </c>
      <c r="C43" s="2">
        <v>1</v>
      </c>
      <c r="D43" s="2" t="s">
        <v>1433</v>
      </c>
      <c r="E43" s="2" t="s">
        <v>1434</v>
      </c>
      <c r="F43" s="2">
        <v>5.0000000000000001E-3</v>
      </c>
      <c r="G43" s="2">
        <v>220</v>
      </c>
      <c r="H43" s="2">
        <v>2700</v>
      </c>
      <c r="I43" s="2">
        <v>896</v>
      </c>
      <c r="J43" s="2">
        <v>0.2</v>
      </c>
      <c r="K43" s="2">
        <v>0.7</v>
      </c>
      <c r="L43" s="2">
        <v>0.7</v>
      </c>
      <c r="M43" s="2" t="s">
        <v>834</v>
      </c>
      <c r="N43" s="15">
        <f t="shared" si="0"/>
        <v>2.2727272727272729E-5</v>
      </c>
    </row>
    <row r="44" spans="1:14" x14ac:dyDescent="0.45">
      <c r="A44" s="2" t="s">
        <v>122</v>
      </c>
      <c r="B44" s="2" t="s">
        <v>291</v>
      </c>
      <c r="C44" s="2">
        <v>2</v>
      </c>
      <c r="D44" s="2" t="s">
        <v>1435</v>
      </c>
      <c r="E44" s="2" t="s">
        <v>1436</v>
      </c>
      <c r="F44" s="2">
        <v>3.5000000000000003E-2</v>
      </c>
      <c r="G44" s="2">
        <v>0.28499999999999998</v>
      </c>
      <c r="H44" s="2">
        <v>1</v>
      </c>
      <c r="I44" s="2">
        <v>1004</v>
      </c>
      <c r="J44" s="2">
        <v>0.7</v>
      </c>
      <c r="K44" s="2">
        <v>0.7</v>
      </c>
      <c r="L44" s="2">
        <v>0.7</v>
      </c>
      <c r="M44" s="2" t="s">
        <v>834</v>
      </c>
      <c r="N44" s="15">
        <f t="shared" si="0"/>
        <v>0.12280701754385967</v>
      </c>
    </row>
    <row r="45" spans="1:14" x14ac:dyDescent="0.45">
      <c r="A45" s="2" t="s">
        <v>122</v>
      </c>
      <c r="B45" s="2" t="s">
        <v>291</v>
      </c>
      <c r="C45" s="2">
        <v>3</v>
      </c>
      <c r="D45" s="2" t="s">
        <v>1437</v>
      </c>
      <c r="E45" s="2" t="s">
        <v>1438</v>
      </c>
      <c r="F45" s="2">
        <v>0.1</v>
      </c>
      <c r="G45" s="2">
        <v>0.04</v>
      </c>
      <c r="H45" s="2">
        <v>30</v>
      </c>
      <c r="I45" s="2">
        <v>1452</v>
      </c>
      <c r="J45" s="2">
        <v>0.95</v>
      </c>
      <c r="K45" s="2">
        <v>0.7</v>
      </c>
      <c r="L45" s="2">
        <v>0.7</v>
      </c>
      <c r="M45" s="2" t="s">
        <v>834</v>
      </c>
      <c r="N45" s="15">
        <f t="shared" si="0"/>
        <v>2.5</v>
      </c>
    </row>
    <row r="46" spans="1:14" x14ac:dyDescent="0.45">
      <c r="A46" s="2" t="s">
        <v>122</v>
      </c>
      <c r="B46" s="2" t="s">
        <v>291</v>
      </c>
      <c r="C46" s="2">
        <v>4</v>
      </c>
      <c r="D46" s="2" t="s">
        <v>1439</v>
      </c>
      <c r="E46" s="2" t="s">
        <v>1440</v>
      </c>
      <c r="F46" s="2">
        <v>5.0000000000000001E-3</v>
      </c>
      <c r="G46" s="2">
        <v>0.23</v>
      </c>
      <c r="H46" s="2">
        <v>1100</v>
      </c>
      <c r="I46" s="2">
        <v>1000</v>
      </c>
      <c r="J46" s="2">
        <v>0.95</v>
      </c>
      <c r="K46" s="2">
        <v>0.7</v>
      </c>
      <c r="L46" s="2">
        <v>0.7</v>
      </c>
      <c r="M46" s="2" t="s">
        <v>834</v>
      </c>
      <c r="N46" s="15">
        <f t="shared" si="0"/>
        <v>2.1739130434782608E-2</v>
      </c>
    </row>
    <row r="47" spans="1:14" x14ac:dyDescent="0.45">
      <c r="A47" s="2" t="s">
        <v>122</v>
      </c>
      <c r="B47" s="2" t="s">
        <v>291</v>
      </c>
      <c r="C47" s="2">
        <v>5</v>
      </c>
      <c r="D47" s="2" t="s">
        <v>1454</v>
      </c>
      <c r="E47" s="2" t="s">
        <v>1442</v>
      </c>
      <c r="F47" s="2">
        <v>0.26</v>
      </c>
      <c r="G47" s="2">
        <v>1</v>
      </c>
      <c r="H47" s="2">
        <v>1</v>
      </c>
      <c r="I47" s="2">
        <v>1004</v>
      </c>
      <c r="J47" s="2">
        <v>0.7</v>
      </c>
      <c r="K47" s="2">
        <v>0.7</v>
      </c>
      <c r="L47" s="2">
        <v>0.7</v>
      </c>
      <c r="M47" s="2" t="s">
        <v>834</v>
      </c>
      <c r="N47" s="15">
        <f t="shared" si="0"/>
        <v>0.26</v>
      </c>
    </row>
    <row r="48" spans="1:14" x14ac:dyDescent="0.45">
      <c r="A48" s="2" t="s">
        <v>122</v>
      </c>
      <c r="B48" s="2" t="s">
        <v>291</v>
      </c>
      <c r="C48" s="2">
        <v>6</v>
      </c>
      <c r="D48" s="2" t="s">
        <v>1449</v>
      </c>
      <c r="E48" s="2" t="s">
        <v>1450</v>
      </c>
      <c r="F48" s="2">
        <v>6.5000000000000002E-2</v>
      </c>
      <c r="G48" s="2">
        <v>0.04</v>
      </c>
      <c r="H48" s="2">
        <v>80</v>
      </c>
      <c r="I48" s="2">
        <v>1028</v>
      </c>
      <c r="J48" s="2">
        <v>0.95</v>
      </c>
      <c r="K48" s="2">
        <v>0.7</v>
      </c>
      <c r="L48" s="2">
        <v>0.7</v>
      </c>
      <c r="M48" s="2" t="s">
        <v>834</v>
      </c>
      <c r="N48" s="15">
        <f t="shared" si="0"/>
        <v>1.625</v>
      </c>
    </row>
    <row r="49" spans="1:14" x14ac:dyDescent="0.45">
      <c r="A49" s="2" t="s">
        <v>122</v>
      </c>
      <c r="B49" s="2" t="s">
        <v>291</v>
      </c>
      <c r="C49" s="2">
        <v>7</v>
      </c>
      <c r="D49" s="2" t="s">
        <v>1451</v>
      </c>
      <c r="E49" s="2" t="s">
        <v>1452</v>
      </c>
      <c r="F49" s="2">
        <v>2.5000000000000001E-2</v>
      </c>
      <c r="G49" s="2">
        <v>0.21</v>
      </c>
      <c r="H49" s="2">
        <v>900</v>
      </c>
      <c r="I49" s="2">
        <v>1000</v>
      </c>
      <c r="J49" s="2">
        <v>0.9</v>
      </c>
      <c r="K49" s="2">
        <v>0.7</v>
      </c>
      <c r="L49" s="2">
        <v>0.7</v>
      </c>
      <c r="M49" s="2" t="s">
        <v>834</v>
      </c>
      <c r="N49" s="15">
        <f t="shared" si="0"/>
        <v>0.11904761904761905</v>
      </c>
    </row>
    <row r="50" spans="1:14" x14ac:dyDescent="0.45">
      <c r="A50" s="2" t="s">
        <v>122</v>
      </c>
      <c r="B50" s="2" t="s">
        <v>291</v>
      </c>
      <c r="C50" s="2">
        <v>8</v>
      </c>
      <c r="D50" s="2" t="s">
        <v>1445</v>
      </c>
      <c r="E50" s="2" t="s">
        <v>1446</v>
      </c>
      <c r="F50" s="2">
        <v>0.01</v>
      </c>
      <c r="G50" s="2">
        <v>0.35</v>
      </c>
      <c r="H50" s="2">
        <v>1200</v>
      </c>
      <c r="I50" s="2">
        <v>999</v>
      </c>
      <c r="J50" s="2">
        <v>0.9</v>
      </c>
      <c r="K50" s="2">
        <v>0.7</v>
      </c>
      <c r="L50" s="2">
        <v>0.7</v>
      </c>
      <c r="M50" s="2" t="s">
        <v>834</v>
      </c>
      <c r="N50" s="15">
        <f t="shared" si="0"/>
        <v>2.8571428571428574E-2</v>
      </c>
    </row>
    <row r="51" spans="1:14" x14ac:dyDescent="0.45">
      <c r="A51" s="2" t="s">
        <v>122</v>
      </c>
      <c r="B51" s="2" t="s">
        <v>302</v>
      </c>
      <c r="C51" s="2">
        <v>1</v>
      </c>
      <c r="D51" s="2" t="s">
        <v>1455</v>
      </c>
      <c r="E51" s="2" t="s">
        <v>1446</v>
      </c>
      <c r="F51" s="2">
        <v>1.4999999999999999E-2</v>
      </c>
      <c r="G51" s="2">
        <v>0.35</v>
      </c>
      <c r="H51" s="2">
        <v>1200</v>
      </c>
      <c r="I51" s="2">
        <v>999</v>
      </c>
      <c r="J51" s="2">
        <v>0.9</v>
      </c>
      <c r="K51" s="2">
        <v>0.7</v>
      </c>
      <c r="L51" s="2">
        <v>0.7</v>
      </c>
      <c r="M51" s="2" t="s">
        <v>834</v>
      </c>
      <c r="N51" s="15">
        <f t="shared" si="0"/>
        <v>4.2857142857142858E-2</v>
      </c>
    </row>
    <row r="52" spans="1:14" x14ac:dyDescent="0.45">
      <c r="A52" s="2" t="s">
        <v>122</v>
      </c>
      <c r="B52" s="2" t="s">
        <v>302</v>
      </c>
      <c r="C52" s="2">
        <v>2</v>
      </c>
      <c r="D52" s="2" t="s">
        <v>1456</v>
      </c>
      <c r="E52" s="2" t="s">
        <v>1457</v>
      </c>
      <c r="F52" s="2">
        <v>0.26</v>
      </c>
      <c r="G52" s="2">
        <v>1.046</v>
      </c>
      <c r="H52" s="2">
        <v>2300</v>
      </c>
      <c r="I52" s="2">
        <v>657</v>
      </c>
      <c r="J52" s="2">
        <v>0.95</v>
      </c>
      <c r="K52" s="2">
        <v>0.7</v>
      </c>
      <c r="L52" s="2">
        <v>0.7</v>
      </c>
      <c r="M52" s="2" t="s">
        <v>834</v>
      </c>
      <c r="N52" s="15">
        <f t="shared" si="0"/>
        <v>0.24856596558317398</v>
      </c>
    </row>
    <row r="53" spans="1:14" x14ac:dyDescent="0.45">
      <c r="A53" s="2" t="s">
        <v>122</v>
      </c>
      <c r="B53" s="2" t="s">
        <v>302</v>
      </c>
      <c r="C53" s="2">
        <v>3</v>
      </c>
      <c r="D53" s="2" t="s">
        <v>1449</v>
      </c>
      <c r="E53" s="2" t="s">
        <v>1450</v>
      </c>
      <c r="F53" s="2">
        <v>6.5000000000000002E-2</v>
      </c>
      <c r="G53" s="2">
        <v>0.04</v>
      </c>
      <c r="H53" s="2">
        <v>80</v>
      </c>
      <c r="I53" s="2">
        <v>1028</v>
      </c>
      <c r="J53" s="2">
        <v>0.95</v>
      </c>
      <c r="K53" s="2">
        <v>0.7</v>
      </c>
      <c r="L53" s="2">
        <v>0.7</v>
      </c>
      <c r="M53" s="2" t="s">
        <v>834</v>
      </c>
      <c r="N53" s="15">
        <f t="shared" si="0"/>
        <v>1.625</v>
      </c>
    </row>
    <row r="54" spans="1:14" x14ac:dyDescent="0.45">
      <c r="A54" s="2" t="s">
        <v>122</v>
      </c>
      <c r="B54" s="2" t="s">
        <v>302</v>
      </c>
      <c r="C54" s="2">
        <v>4</v>
      </c>
      <c r="D54" s="2" t="s">
        <v>1451</v>
      </c>
      <c r="E54" s="2" t="s">
        <v>1452</v>
      </c>
      <c r="F54" s="2">
        <v>2.5000000000000001E-2</v>
      </c>
      <c r="G54" s="2">
        <v>0.21</v>
      </c>
      <c r="H54" s="2">
        <v>900</v>
      </c>
      <c r="I54" s="2">
        <v>1000</v>
      </c>
      <c r="J54" s="2">
        <v>0.9</v>
      </c>
      <c r="K54" s="2">
        <v>0.7</v>
      </c>
      <c r="L54" s="2">
        <v>0.7</v>
      </c>
      <c r="M54" s="2" t="s">
        <v>834</v>
      </c>
      <c r="N54" s="15">
        <f t="shared" si="0"/>
        <v>0.11904761904761905</v>
      </c>
    </row>
    <row r="55" spans="1:14" x14ac:dyDescent="0.45">
      <c r="A55" s="2" t="s">
        <v>122</v>
      </c>
      <c r="B55" s="2" t="s">
        <v>302</v>
      </c>
      <c r="C55" s="2">
        <v>5</v>
      </c>
      <c r="D55" s="2" t="s">
        <v>1445</v>
      </c>
      <c r="E55" s="2" t="s">
        <v>1446</v>
      </c>
      <c r="F55" s="2">
        <v>0.01</v>
      </c>
      <c r="G55" s="2">
        <v>0.35</v>
      </c>
      <c r="H55" s="2">
        <v>1200</v>
      </c>
      <c r="I55" s="2">
        <v>999</v>
      </c>
      <c r="J55" s="2">
        <v>0.9</v>
      </c>
      <c r="K55" s="2">
        <v>0.7</v>
      </c>
      <c r="L55" s="2">
        <v>0.7</v>
      </c>
      <c r="M55" s="2" t="s">
        <v>834</v>
      </c>
      <c r="N55" s="15">
        <f t="shared" si="0"/>
        <v>2.8571428571428574E-2</v>
      </c>
    </row>
    <row r="56" spans="1:14" x14ac:dyDescent="0.45">
      <c r="A56" s="2" t="s">
        <v>122</v>
      </c>
      <c r="B56" s="2" t="s">
        <v>304</v>
      </c>
      <c r="C56" s="2">
        <v>1</v>
      </c>
      <c r="D56" s="2" t="s">
        <v>1455</v>
      </c>
      <c r="E56" s="2" t="s">
        <v>1446</v>
      </c>
      <c r="F56" s="2">
        <v>1.4999999999999999E-2</v>
      </c>
      <c r="G56" s="2">
        <v>0.35</v>
      </c>
      <c r="H56" s="2">
        <v>1200</v>
      </c>
      <c r="I56" s="2">
        <v>999</v>
      </c>
      <c r="J56" s="2">
        <v>0.9</v>
      </c>
      <c r="K56" s="2">
        <v>0.7</v>
      </c>
      <c r="L56" s="2">
        <v>0.7</v>
      </c>
      <c r="M56" s="2" t="s">
        <v>834</v>
      </c>
      <c r="N56" s="15">
        <f t="shared" si="0"/>
        <v>4.2857142857142858E-2</v>
      </c>
    </row>
    <row r="57" spans="1:14" x14ac:dyDescent="0.45">
      <c r="A57" s="2" t="s">
        <v>122</v>
      </c>
      <c r="B57" s="2" t="s">
        <v>304</v>
      </c>
      <c r="C57" s="2">
        <v>2</v>
      </c>
      <c r="D57" s="2" t="s">
        <v>1451</v>
      </c>
      <c r="E57" s="2" t="s">
        <v>1452</v>
      </c>
      <c r="F57" s="2">
        <v>2.5000000000000001E-2</v>
      </c>
      <c r="G57" s="2">
        <v>0.21</v>
      </c>
      <c r="H57" s="2">
        <v>900</v>
      </c>
      <c r="I57" s="2">
        <v>1000</v>
      </c>
      <c r="J57" s="2">
        <v>0.9</v>
      </c>
      <c r="K57" s="2">
        <v>0.7</v>
      </c>
      <c r="L57" s="2">
        <v>0.7</v>
      </c>
      <c r="M57" s="2" t="s">
        <v>834</v>
      </c>
      <c r="N57" s="15">
        <f t="shared" si="0"/>
        <v>0.11904761904761905</v>
      </c>
    </row>
    <row r="58" spans="1:14" x14ac:dyDescent="0.45">
      <c r="A58" s="2" t="s">
        <v>122</v>
      </c>
      <c r="B58" s="2" t="s">
        <v>304</v>
      </c>
      <c r="C58" s="2">
        <v>3</v>
      </c>
      <c r="D58" s="2" t="s">
        <v>1458</v>
      </c>
      <c r="E58" s="2" t="s">
        <v>1450</v>
      </c>
      <c r="F58" s="2">
        <v>0.1</v>
      </c>
      <c r="G58" s="2">
        <v>0.04</v>
      </c>
      <c r="H58" s="2">
        <v>80</v>
      </c>
      <c r="I58" s="2">
        <v>1028</v>
      </c>
      <c r="J58" s="2">
        <v>0.95</v>
      </c>
      <c r="K58" s="2">
        <v>0.7</v>
      </c>
      <c r="L58" s="2">
        <v>0.7</v>
      </c>
      <c r="M58" s="2" t="s">
        <v>834</v>
      </c>
      <c r="N58" s="15">
        <f t="shared" si="0"/>
        <v>2.5</v>
      </c>
    </row>
    <row r="59" spans="1:14" x14ac:dyDescent="0.45">
      <c r="A59" s="2" t="s">
        <v>122</v>
      </c>
      <c r="B59" s="2" t="s">
        <v>304</v>
      </c>
      <c r="C59" s="2">
        <v>4</v>
      </c>
      <c r="D59" s="2" t="s">
        <v>1459</v>
      </c>
      <c r="E59" s="2" t="s">
        <v>1442</v>
      </c>
      <c r="F59" s="2">
        <v>0.15</v>
      </c>
      <c r="G59" s="2">
        <v>1</v>
      </c>
      <c r="H59" s="2">
        <v>1</v>
      </c>
      <c r="I59" s="2">
        <v>1004</v>
      </c>
      <c r="J59" s="2">
        <v>0.7</v>
      </c>
      <c r="K59" s="2">
        <v>0.7</v>
      </c>
      <c r="L59" s="2">
        <v>0.7</v>
      </c>
      <c r="M59" s="2" t="s">
        <v>834</v>
      </c>
      <c r="N59" s="15">
        <f t="shared" si="0"/>
        <v>0.15</v>
      </c>
    </row>
    <row r="60" spans="1:14" x14ac:dyDescent="0.45">
      <c r="A60" s="2" t="s">
        <v>122</v>
      </c>
      <c r="B60" s="2" t="s">
        <v>304</v>
      </c>
      <c r="C60" s="2">
        <v>5</v>
      </c>
      <c r="D60" s="2" t="s">
        <v>1456</v>
      </c>
      <c r="E60" s="2" t="s">
        <v>1457</v>
      </c>
      <c r="F60" s="2">
        <v>0.26</v>
      </c>
      <c r="G60" s="2">
        <v>1.046</v>
      </c>
      <c r="H60" s="2">
        <v>2300</v>
      </c>
      <c r="I60" s="2">
        <v>657</v>
      </c>
      <c r="J60" s="2">
        <v>0.95</v>
      </c>
      <c r="K60" s="2">
        <v>0.7</v>
      </c>
      <c r="L60" s="2">
        <v>0.7</v>
      </c>
      <c r="M60" s="2" t="s">
        <v>834</v>
      </c>
      <c r="N60" s="15">
        <f t="shared" si="0"/>
        <v>0.24856596558317398</v>
      </c>
    </row>
    <row r="61" spans="1:14" x14ac:dyDescent="0.45">
      <c r="A61" s="2" t="s">
        <v>122</v>
      </c>
      <c r="B61" s="2" t="s">
        <v>304</v>
      </c>
      <c r="C61" s="2">
        <v>6</v>
      </c>
      <c r="D61" s="2" t="s">
        <v>1449</v>
      </c>
      <c r="E61" s="2" t="s">
        <v>1450</v>
      </c>
      <c r="F61" s="2">
        <v>6.5000000000000002E-2</v>
      </c>
      <c r="G61" s="2">
        <v>0.04</v>
      </c>
      <c r="H61" s="2">
        <v>80</v>
      </c>
      <c r="I61" s="2">
        <v>1028</v>
      </c>
      <c r="J61" s="2">
        <v>0.95</v>
      </c>
      <c r="K61" s="2">
        <v>0.7</v>
      </c>
      <c r="L61" s="2">
        <v>0.7</v>
      </c>
      <c r="M61" s="2" t="s">
        <v>834</v>
      </c>
      <c r="N61" s="15">
        <f t="shared" si="0"/>
        <v>1.625</v>
      </c>
    </row>
    <row r="62" spans="1:14" x14ac:dyDescent="0.45">
      <c r="A62" s="2" t="s">
        <v>122</v>
      </c>
      <c r="B62" s="2" t="s">
        <v>304</v>
      </c>
      <c r="C62" s="2">
        <v>7</v>
      </c>
      <c r="D62" s="2" t="s">
        <v>1451</v>
      </c>
      <c r="E62" s="2" t="s">
        <v>1452</v>
      </c>
      <c r="F62" s="2">
        <v>2.5000000000000001E-2</v>
      </c>
      <c r="G62" s="2">
        <v>0.21</v>
      </c>
      <c r="H62" s="2">
        <v>900</v>
      </c>
      <c r="I62" s="2">
        <v>1000</v>
      </c>
      <c r="J62" s="2">
        <v>0.9</v>
      </c>
      <c r="K62" s="2">
        <v>0.7</v>
      </c>
      <c r="L62" s="2">
        <v>0.7</v>
      </c>
      <c r="M62" s="2" t="s">
        <v>834</v>
      </c>
      <c r="N62" s="15">
        <f t="shared" si="0"/>
        <v>0.11904761904761905</v>
      </c>
    </row>
    <row r="63" spans="1:14" x14ac:dyDescent="0.45">
      <c r="A63" s="2" t="s">
        <v>122</v>
      </c>
      <c r="B63" s="2" t="s">
        <v>304</v>
      </c>
      <c r="C63" s="2">
        <v>8</v>
      </c>
      <c r="D63" s="2" t="s">
        <v>1445</v>
      </c>
      <c r="E63" s="2" t="s">
        <v>1446</v>
      </c>
      <c r="F63" s="2">
        <v>0.01</v>
      </c>
      <c r="G63" s="2">
        <v>0.35</v>
      </c>
      <c r="H63" s="2">
        <v>1200</v>
      </c>
      <c r="I63" s="2">
        <v>999</v>
      </c>
      <c r="J63" s="2">
        <v>0.9</v>
      </c>
      <c r="K63" s="2">
        <v>0.7</v>
      </c>
      <c r="L63" s="2">
        <v>0.7</v>
      </c>
      <c r="M63" s="2" t="s">
        <v>834</v>
      </c>
      <c r="N63" s="15">
        <f t="shared" si="0"/>
        <v>2.8571428571428574E-2</v>
      </c>
    </row>
    <row r="64" spans="1:14" x14ac:dyDescent="0.45">
      <c r="A64" s="2" t="s">
        <v>122</v>
      </c>
      <c r="B64" s="2" t="s">
        <v>322</v>
      </c>
      <c r="C64" s="2">
        <v>1</v>
      </c>
      <c r="D64" s="2" t="s">
        <v>1445</v>
      </c>
      <c r="E64" s="2" t="s">
        <v>1446</v>
      </c>
      <c r="F64" s="2">
        <v>0.01</v>
      </c>
      <c r="G64" s="2">
        <v>0.35</v>
      </c>
      <c r="H64" s="2">
        <v>1200</v>
      </c>
      <c r="I64" s="2">
        <v>999</v>
      </c>
      <c r="J64" s="2">
        <v>0.9</v>
      </c>
      <c r="K64" s="2">
        <v>0.7</v>
      </c>
      <c r="L64" s="2">
        <v>0.7</v>
      </c>
      <c r="M64" s="2" t="s">
        <v>834</v>
      </c>
      <c r="N64" s="15">
        <f t="shared" si="0"/>
        <v>2.8571428571428574E-2</v>
      </c>
    </row>
    <row r="65" spans="1:14" x14ac:dyDescent="0.45">
      <c r="A65" s="2" t="s">
        <v>122</v>
      </c>
      <c r="B65" s="2" t="s">
        <v>322</v>
      </c>
      <c r="C65" s="2">
        <v>2</v>
      </c>
      <c r="D65" s="2" t="s">
        <v>1451</v>
      </c>
      <c r="E65" s="2" t="s">
        <v>1452</v>
      </c>
      <c r="F65" s="2">
        <v>2.5000000000000001E-2</v>
      </c>
      <c r="G65" s="2">
        <v>0.21</v>
      </c>
      <c r="H65" s="2">
        <v>900</v>
      </c>
      <c r="I65" s="2">
        <v>1000</v>
      </c>
      <c r="J65" s="2">
        <v>0.9</v>
      </c>
      <c r="K65" s="2">
        <v>0.7</v>
      </c>
      <c r="L65" s="2">
        <v>0.7</v>
      </c>
      <c r="M65" s="2" t="s">
        <v>834</v>
      </c>
      <c r="N65" s="15">
        <f t="shared" si="0"/>
        <v>0.11904761904761905</v>
      </c>
    </row>
    <row r="66" spans="1:14" x14ac:dyDescent="0.45">
      <c r="A66" s="2" t="s">
        <v>122</v>
      </c>
      <c r="B66" s="2" t="s">
        <v>322</v>
      </c>
      <c r="C66" s="2">
        <v>3</v>
      </c>
      <c r="D66" s="2" t="s">
        <v>1460</v>
      </c>
      <c r="E66" s="2" t="s">
        <v>1450</v>
      </c>
      <c r="F66" s="2">
        <v>0.04</v>
      </c>
      <c r="G66" s="2">
        <v>0.04</v>
      </c>
      <c r="H66" s="2">
        <v>80</v>
      </c>
      <c r="I66" s="2">
        <v>1028</v>
      </c>
      <c r="J66" s="2">
        <v>0.95</v>
      </c>
      <c r="K66" s="2">
        <v>0.7</v>
      </c>
      <c r="L66" s="2">
        <v>0.7</v>
      </c>
      <c r="M66" s="2" t="s">
        <v>834</v>
      </c>
      <c r="N66" s="15">
        <f t="shared" ref="N66:N129" si="1">IF(G66&gt;0,F66/G66,0)</f>
        <v>1</v>
      </c>
    </row>
    <row r="67" spans="1:14" x14ac:dyDescent="0.45">
      <c r="A67" s="2" t="s">
        <v>122</v>
      </c>
      <c r="B67" s="2" t="s">
        <v>322</v>
      </c>
      <c r="C67" s="2">
        <v>4</v>
      </c>
      <c r="D67" s="2" t="s">
        <v>1461</v>
      </c>
      <c r="E67" s="2" t="s">
        <v>1462</v>
      </c>
      <c r="F67" s="2">
        <v>6.5000000000000002E-2</v>
      </c>
      <c r="G67" s="2">
        <v>1</v>
      </c>
      <c r="H67" s="2">
        <v>1</v>
      </c>
      <c r="I67" s="2">
        <v>1003</v>
      </c>
      <c r="J67" s="2">
        <v>0.7</v>
      </c>
      <c r="K67" s="2">
        <v>0.7</v>
      </c>
      <c r="L67" s="2">
        <v>0.7</v>
      </c>
      <c r="M67" s="2" t="s">
        <v>834</v>
      </c>
      <c r="N67" s="15">
        <f t="shared" si="1"/>
        <v>6.5000000000000002E-2</v>
      </c>
    </row>
    <row r="68" spans="1:14" x14ac:dyDescent="0.45">
      <c r="A68" s="2" t="s">
        <v>122</v>
      </c>
      <c r="B68" s="2" t="s">
        <v>322</v>
      </c>
      <c r="C68" s="2">
        <v>5</v>
      </c>
      <c r="D68" s="2" t="s">
        <v>1460</v>
      </c>
      <c r="E68" s="2" t="s">
        <v>1450</v>
      </c>
      <c r="F68" s="2">
        <v>0.04</v>
      </c>
      <c r="G68" s="2">
        <v>0.04</v>
      </c>
      <c r="H68" s="2">
        <v>80</v>
      </c>
      <c r="I68" s="2">
        <v>1028</v>
      </c>
      <c r="J68" s="2">
        <v>0.95</v>
      </c>
      <c r="K68" s="2">
        <v>0.7</v>
      </c>
      <c r="L68" s="2">
        <v>0.7</v>
      </c>
      <c r="M68" s="2" t="s">
        <v>834</v>
      </c>
      <c r="N68" s="15">
        <f t="shared" si="1"/>
        <v>1</v>
      </c>
    </row>
    <row r="69" spans="1:14" x14ac:dyDescent="0.45">
      <c r="A69" s="2" t="s">
        <v>122</v>
      </c>
      <c r="B69" s="2" t="s">
        <v>322</v>
      </c>
      <c r="C69" s="2">
        <v>6</v>
      </c>
      <c r="D69" s="2" t="s">
        <v>1451</v>
      </c>
      <c r="E69" s="2" t="s">
        <v>1452</v>
      </c>
      <c r="F69" s="2">
        <v>2.5000000000000001E-2</v>
      </c>
      <c r="G69" s="2">
        <v>0.21</v>
      </c>
      <c r="H69" s="2">
        <v>900</v>
      </c>
      <c r="I69" s="2">
        <v>1000</v>
      </c>
      <c r="J69" s="2">
        <v>0.9</v>
      </c>
      <c r="K69" s="2">
        <v>0.7</v>
      </c>
      <c r="L69" s="2">
        <v>0.7</v>
      </c>
      <c r="M69" s="2" t="s">
        <v>834</v>
      </c>
      <c r="N69" s="15">
        <f t="shared" si="1"/>
        <v>0.11904761904761905</v>
      </c>
    </row>
    <row r="70" spans="1:14" x14ac:dyDescent="0.45">
      <c r="A70" s="2" t="s">
        <v>122</v>
      </c>
      <c r="B70" s="2" t="s">
        <v>322</v>
      </c>
      <c r="C70" s="2">
        <v>7</v>
      </c>
      <c r="D70" s="2" t="s">
        <v>1463</v>
      </c>
      <c r="E70" s="2" t="s">
        <v>1464</v>
      </c>
      <c r="F70" s="2">
        <v>0.01</v>
      </c>
      <c r="G70" s="2">
        <v>0.35</v>
      </c>
      <c r="H70" s="2">
        <v>1200</v>
      </c>
      <c r="I70" s="2">
        <v>999</v>
      </c>
      <c r="J70" s="2">
        <v>0.9</v>
      </c>
      <c r="K70" s="2">
        <v>0.7</v>
      </c>
      <c r="L70" s="2">
        <v>0.7</v>
      </c>
      <c r="M70" s="2" t="s">
        <v>834</v>
      </c>
      <c r="N70" s="15">
        <f t="shared" si="1"/>
        <v>2.8571428571428574E-2</v>
      </c>
    </row>
    <row r="71" spans="1:14" x14ac:dyDescent="0.45">
      <c r="A71" s="2" t="s">
        <v>122</v>
      </c>
      <c r="B71" s="2" t="s">
        <v>324</v>
      </c>
      <c r="C71" s="2">
        <v>1</v>
      </c>
      <c r="D71" s="2" t="s">
        <v>1445</v>
      </c>
      <c r="E71" s="2" t="s">
        <v>1446</v>
      </c>
      <c r="F71" s="2">
        <v>0.01</v>
      </c>
      <c r="G71" s="2">
        <v>0.35</v>
      </c>
      <c r="H71" s="2">
        <v>1200</v>
      </c>
      <c r="I71" s="2">
        <v>999</v>
      </c>
      <c r="J71" s="2">
        <v>0.9</v>
      </c>
      <c r="K71" s="2">
        <v>0.7</v>
      </c>
      <c r="L71" s="2">
        <v>0.7</v>
      </c>
      <c r="M71" s="2" t="s">
        <v>834</v>
      </c>
      <c r="N71" s="15">
        <f t="shared" si="1"/>
        <v>2.8571428571428574E-2</v>
      </c>
    </row>
    <row r="72" spans="1:14" x14ac:dyDescent="0.45">
      <c r="A72" s="2" t="s">
        <v>122</v>
      </c>
      <c r="B72" s="2" t="s">
        <v>324</v>
      </c>
      <c r="C72" s="2">
        <v>2</v>
      </c>
      <c r="D72" s="2" t="s">
        <v>1451</v>
      </c>
      <c r="E72" s="2" t="s">
        <v>1452</v>
      </c>
      <c r="F72" s="2">
        <v>2.5000000000000001E-2</v>
      </c>
      <c r="G72" s="2">
        <v>0.21</v>
      </c>
      <c r="H72" s="2">
        <v>900</v>
      </c>
      <c r="I72" s="2">
        <v>1000</v>
      </c>
      <c r="J72" s="2">
        <v>0.9</v>
      </c>
      <c r="K72" s="2">
        <v>0.7</v>
      </c>
      <c r="L72" s="2">
        <v>0.7</v>
      </c>
      <c r="M72" s="2" t="s">
        <v>834</v>
      </c>
      <c r="N72" s="15">
        <f t="shared" si="1"/>
        <v>0.11904761904761905</v>
      </c>
    </row>
    <row r="73" spans="1:14" x14ac:dyDescent="0.45">
      <c r="A73" s="2" t="s">
        <v>122</v>
      </c>
      <c r="B73" s="2" t="s">
        <v>324</v>
      </c>
      <c r="C73" s="2">
        <v>3</v>
      </c>
      <c r="D73" s="2" t="s">
        <v>1449</v>
      </c>
      <c r="E73" s="2" t="s">
        <v>1450</v>
      </c>
      <c r="F73" s="2">
        <v>6.5000000000000002E-2</v>
      </c>
      <c r="G73" s="2">
        <v>0.04</v>
      </c>
      <c r="H73" s="2">
        <v>80</v>
      </c>
      <c r="I73" s="2">
        <v>1028</v>
      </c>
      <c r="J73" s="2">
        <v>0.95</v>
      </c>
      <c r="K73" s="2">
        <v>0.7</v>
      </c>
      <c r="L73" s="2">
        <v>0.7</v>
      </c>
      <c r="M73" s="2" t="s">
        <v>834</v>
      </c>
      <c r="N73" s="15">
        <f t="shared" si="1"/>
        <v>1.625</v>
      </c>
    </row>
    <row r="74" spans="1:14" x14ac:dyDescent="0.45">
      <c r="A74" s="2" t="s">
        <v>122</v>
      </c>
      <c r="B74" s="2" t="s">
        <v>326</v>
      </c>
      <c r="C74" s="2">
        <v>1</v>
      </c>
      <c r="D74" s="2" t="s">
        <v>1445</v>
      </c>
      <c r="E74" s="2" t="s">
        <v>1446</v>
      </c>
      <c r="F74" s="2">
        <v>0.01</v>
      </c>
      <c r="G74" s="2">
        <v>0.35</v>
      </c>
      <c r="H74" s="2">
        <v>1200</v>
      </c>
      <c r="I74" s="2">
        <v>999</v>
      </c>
      <c r="J74" s="2">
        <v>0.9</v>
      </c>
      <c r="K74" s="2">
        <v>0.7</v>
      </c>
      <c r="L74" s="2">
        <v>0.7</v>
      </c>
      <c r="M74" s="2" t="s">
        <v>834</v>
      </c>
      <c r="N74" s="15">
        <f t="shared" si="1"/>
        <v>2.8571428571428574E-2</v>
      </c>
    </row>
    <row r="75" spans="1:14" x14ac:dyDescent="0.45">
      <c r="A75" s="2" t="s">
        <v>122</v>
      </c>
      <c r="B75" s="2" t="s">
        <v>326</v>
      </c>
      <c r="C75" s="2">
        <v>2</v>
      </c>
      <c r="D75" s="2" t="s">
        <v>1451</v>
      </c>
      <c r="E75" s="2" t="s">
        <v>1452</v>
      </c>
      <c r="F75" s="2">
        <v>2.5000000000000001E-2</v>
      </c>
      <c r="G75" s="2">
        <v>0.21</v>
      </c>
      <c r="H75" s="2">
        <v>900</v>
      </c>
      <c r="I75" s="2">
        <v>1000</v>
      </c>
      <c r="J75" s="2">
        <v>0.9</v>
      </c>
      <c r="K75" s="2">
        <v>0.7</v>
      </c>
      <c r="L75" s="2">
        <v>0.7</v>
      </c>
      <c r="M75" s="2" t="s">
        <v>834</v>
      </c>
      <c r="N75" s="15">
        <f t="shared" si="1"/>
        <v>0.11904761904761905</v>
      </c>
    </row>
    <row r="76" spans="1:14" x14ac:dyDescent="0.45">
      <c r="A76" s="2" t="s">
        <v>122</v>
      </c>
      <c r="B76" s="2" t="s">
        <v>326</v>
      </c>
      <c r="C76" s="2">
        <v>3</v>
      </c>
      <c r="D76" s="2" t="s">
        <v>1460</v>
      </c>
      <c r="E76" s="2" t="s">
        <v>1450</v>
      </c>
      <c r="F76" s="2">
        <v>0.04</v>
      </c>
      <c r="G76" s="2">
        <v>0.04</v>
      </c>
      <c r="H76" s="2">
        <v>80</v>
      </c>
      <c r="I76" s="2">
        <v>1028</v>
      </c>
      <c r="J76" s="2">
        <v>0.95</v>
      </c>
      <c r="K76" s="2">
        <v>0.7</v>
      </c>
      <c r="L76" s="2">
        <v>0.7</v>
      </c>
      <c r="M76" s="2" t="s">
        <v>834</v>
      </c>
      <c r="N76" s="15">
        <f t="shared" si="1"/>
        <v>1</v>
      </c>
    </row>
    <row r="77" spans="1:14" x14ac:dyDescent="0.45">
      <c r="A77" s="2" t="s">
        <v>122</v>
      </c>
      <c r="B77" s="2" t="s">
        <v>326</v>
      </c>
      <c r="C77" s="2">
        <v>4</v>
      </c>
      <c r="D77" s="2" t="s">
        <v>1461</v>
      </c>
      <c r="E77" s="2" t="s">
        <v>1462</v>
      </c>
      <c r="F77" s="2">
        <v>6.5000000000000002E-2</v>
      </c>
      <c r="G77" s="2">
        <v>1</v>
      </c>
      <c r="H77" s="2">
        <v>1</v>
      </c>
      <c r="I77" s="2">
        <v>1003</v>
      </c>
      <c r="J77" s="2">
        <v>0.7</v>
      </c>
      <c r="K77" s="2">
        <v>0.7</v>
      </c>
      <c r="L77" s="2">
        <v>0.7</v>
      </c>
      <c r="M77" s="2" t="s">
        <v>834</v>
      </c>
      <c r="N77" s="15">
        <f t="shared" si="1"/>
        <v>6.5000000000000002E-2</v>
      </c>
    </row>
    <row r="78" spans="1:14" x14ac:dyDescent="0.45">
      <c r="A78" s="2" t="s">
        <v>122</v>
      </c>
      <c r="B78" s="2" t="s">
        <v>326</v>
      </c>
      <c r="C78" s="2">
        <v>5</v>
      </c>
      <c r="D78" s="2" t="s">
        <v>1460</v>
      </c>
      <c r="E78" s="2" t="s">
        <v>1450</v>
      </c>
      <c r="F78" s="2">
        <v>0.04</v>
      </c>
      <c r="G78" s="2">
        <v>0.04</v>
      </c>
      <c r="H78" s="2">
        <v>80</v>
      </c>
      <c r="I78" s="2">
        <v>1028</v>
      </c>
      <c r="J78" s="2">
        <v>0.95</v>
      </c>
      <c r="K78" s="2">
        <v>0.7</v>
      </c>
      <c r="L78" s="2">
        <v>0.7</v>
      </c>
      <c r="M78" s="2" t="s">
        <v>834</v>
      </c>
      <c r="N78" s="15">
        <f t="shared" si="1"/>
        <v>1</v>
      </c>
    </row>
    <row r="79" spans="1:14" x14ac:dyDescent="0.45">
      <c r="A79" s="2" t="s">
        <v>122</v>
      </c>
      <c r="B79" s="2" t="s">
        <v>326</v>
      </c>
      <c r="C79" s="2">
        <v>6</v>
      </c>
      <c r="D79" s="2" t="s">
        <v>1451</v>
      </c>
      <c r="E79" s="2" t="s">
        <v>1452</v>
      </c>
      <c r="F79" s="2">
        <v>2.5000000000000001E-2</v>
      </c>
      <c r="G79" s="2">
        <v>0.21</v>
      </c>
      <c r="H79" s="2">
        <v>900</v>
      </c>
      <c r="I79" s="2">
        <v>1000</v>
      </c>
      <c r="J79" s="2">
        <v>0.9</v>
      </c>
      <c r="K79" s="2">
        <v>0.7</v>
      </c>
      <c r="L79" s="2">
        <v>0.7</v>
      </c>
      <c r="M79" s="2" t="s">
        <v>834</v>
      </c>
      <c r="N79" s="15">
        <f t="shared" si="1"/>
        <v>0.11904761904761905</v>
      </c>
    </row>
    <row r="80" spans="1:14" x14ac:dyDescent="0.45">
      <c r="A80" s="2" t="s">
        <v>122</v>
      </c>
      <c r="B80" s="2" t="s">
        <v>326</v>
      </c>
      <c r="C80" s="2">
        <v>7</v>
      </c>
      <c r="D80" s="2" t="s">
        <v>1463</v>
      </c>
      <c r="E80" s="2" t="s">
        <v>1464</v>
      </c>
      <c r="F80" s="2">
        <v>0.01</v>
      </c>
      <c r="G80" s="2">
        <v>0.35</v>
      </c>
      <c r="H80" s="2">
        <v>1200</v>
      </c>
      <c r="I80" s="2">
        <v>999</v>
      </c>
      <c r="J80" s="2">
        <v>0.9</v>
      </c>
      <c r="K80" s="2">
        <v>0.7</v>
      </c>
      <c r="L80" s="2">
        <v>0.7</v>
      </c>
      <c r="M80" s="2" t="s">
        <v>834</v>
      </c>
      <c r="N80" s="15">
        <f t="shared" si="1"/>
        <v>2.8571428571428574E-2</v>
      </c>
    </row>
    <row r="81" spans="1:14" x14ac:dyDescent="0.45">
      <c r="A81" s="2" t="s">
        <v>122</v>
      </c>
      <c r="B81" s="2" t="s">
        <v>326</v>
      </c>
      <c r="C81" s="2">
        <v>8</v>
      </c>
      <c r="D81" s="2" t="s">
        <v>1465</v>
      </c>
      <c r="E81" s="2" t="s">
        <v>1466</v>
      </c>
      <c r="F81" s="2">
        <v>1.4999999999999999E-2</v>
      </c>
      <c r="G81" s="2">
        <v>1.3</v>
      </c>
      <c r="H81" s="2">
        <v>2300</v>
      </c>
      <c r="I81" s="2">
        <v>839</v>
      </c>
      <c r="J81" s="2">
        <v>0.9</v>
      </c>
      <c r="K81" s="2">
        <v>0.7</v>
      </c>
      <c r="L81" s="2">
        <v>0.7</v>
      </c>
      <c r="M81" s="2" t="s">
        <v>834</v>
      </c>
      <c r="N81" s="15">
        <f t="shared" si="1"/>
        <v>1.1538461538461537E-2</v>
      </c>
    </row>
    <row r="82" spans="1:14" x14ac:dyDescent="0.45">
      <c r="A82" s="2" t="s">
        <v>122</v>
      </c>
      <c r="B82" s="2" t="s">
        <v>328</v>
      </c>
      <c r="C82" s="2">
        <v>1</v>
      </c>
      <c r="D82" s="2" t="s">
        <v>1465</v>
      </c>
      <c r="E82" s="2" t="s">
        <v>1466</v>
      </c>
      <c r="F82" s="2">
        <v>1.4999999999999999E-2</v>
      </c>
      <c r="G82" s="2">
        <v>1.3</v>
      </c>
      <c r="H82" s="2">
        <v>2300</v>
      </c>
      <c r="I82" s="2">
        <v>839</v>
      </c>
      <c r="J82" s="2">
        <v>0.9</v>
      </c>
      <c r="K82" s="2">
        <v>0.7</v>
      </c>
      <c r="L82" s="2">
        <v>0.7</v>
      </c>
      <c r="M82" s="2" t="s">
        <v>834</v>
      </c>
      <c r="N82" s="15">
        <f t="shared" si="1"/>
        <v>1.1538461538461537E-2</v>
      </c>
    </row>
    <row r="83" spans="1:14" x14ac:dyDescent="0.45">
      <c r="A83" s="2" t="s">
        <v>122</v>
      </c>
      <c r="B83" s="2" t="s">
        <v>328</v>
      </c>
      <c r="C83" s="2">
        <v>2</v>
      </c>
      <c r="D83" s="2" t="s">
        <v>1445</v>
      </c>
      <c r="E83" s="2" t="s">
        <v>1446</v>
      </c>
      <c r="F83" s="2">
        <v>0.01</v>
      </c>
      <c r="G83" s="2">
        <v>0.35</v>
      </c>
      <c r="H83" s="2">
        <v>1200</v>
      </c>
      <c r="I83" s="2">
        <v>999</v>
      </c>
      <c r="J83" s="2">
        <v>0.9</v>
      </c>
      <c r="K83" s="2">
        <v>0.7</v>
      </c>
      <c r="L83" s="2">
        <v>0.7</v>
      </c>
      <c r="M83" s="2" t="s">
        <v>834</v>
      </c>
      <c r="N83" s="15">
        <f t="shared" si="1"/>
        <v>2.8571428571428574E-2</v>
      </c>
    </row>
    <row r="84" spans="1:14" x14ac:dyDescent="0.45">
      <c r="A84" s="2" t="s">
        <v>122</v>
      </c>
      <c r="B84" s="2" t="s">
        <v>328</v>
      </c>
      <c r="C84" s="2">
        <v>3</v>
      </c>
      <c r="D84" s="2" t="s">
        <v>1451</v>
      </c>
      <c r="E84" s="2" t="s">
        <v>1452</v>
      </c>
      <c r="F84" s="2">
        <v>2.5000000000000001E-2</v>
      </c>
      <c r="G84" s="2">
        <v>0.21</v>
      </c>
      <c r="H84" s="2">
        <v>900</v>
      </c>
      <c r="I84" s="2">
        <v>1000</v>
      </c>
      <c r="J84" s="2">
        <v>0.9</v>
      </c>
      <c r="K84" s="2">
        <v>0.7</v>
      </c>
      <c r="L84" s="2">
        <v>0.7</v>
      </c>
      <c r="M84" s="2" t="s">
        <v>834</v>
      </c>
      <c r="N84" s="15">
        <f t="shared" si="1"/>
        <v>0.11904761904761905</v>
      </c>
    </row>
    <row r="85" spans="1:14" x14ac:dyDescent="0.45">
      <c r="A85" s="2" t="s">
        <v>122</v>
      </c>
      <c r="B85" s="2" t="s">
        <v>328</v>
      </c>
      <c r="C85" s="2">
        <v>4</v>
      </c>
      <c r="D85" s="2" t="s">
        <v>1460</v>
      </c>
      <c r="E85" s="2" t="s">
        <v>1450</v>
      </c>
      <c r="F85" s="2">
        <v>0.04</v>
      </c>
      <c r="G85" s="2">
        <v>0.04</v>
      </c>
      <c r="H85" s="2">
        <v>80</v>
      </c>
      <c r="I85" s="2">
        <v>1028</v>
      </c>
      <c r="J85" s="2">
        <v>0.95</v>
      </c>
      <c r="K85" s="2">
        <v>0.7</v>
      </c>
      <c r="L85" s="2">
        <v>0.7</v>
      </c>
      <c r="M85" s="2" t="s">
        <v>834</v>
      </c>
      <c r="N85" s="15">
        <f t="shared" si="1"/>
        <v>1</v>
      </c>
    </row>
    <row r="86" spans="1:14" x14ac:dyDescent="0.45">
      <c r="A86" s="2" t="s">
        <v>122</v>
      </c>
      <c r="B86" s="2" t="s">
        <v>328</v>
      </c>
      <c r="C86" s="2">
        <v>5</v>
      </c>
      <c r="D86" s="2" t="s">
        <v>1461</v>
      </c>
      <c r="E86" s="2" t="s">
        <v>1462</v>
      </c>
      <c r="F86" s="2">
        <v>6.5000000000000002E-2</v>
      </c>
      <c r="G86" s="2">
        <v>1</v>
      </c>
      <c r="H86" s="2">
        <v>1</v>
      </c>
      <c r="I86" s="2">
        <v>1003</v>
      </c>
      <c r="J86" s="2">
        <v>0.7</v>
      </c>
      <c r="K86" s="2">
        <v>0.7</v>
      </c>
      <c r="L86" s="2">
        <v>0.7</v>
      </c>
      <c r="M86" s="2" t="s">
        <v>834</v>
      </c>
      <c r="N86" s="15">
        <f t="shared" si="1"/>
        <v>6.5000000000000002E-2</v>
      </c>
    </row>
    <row r="87" spans="1:14" x14ac:dyDescent="0.45">
      <c r="A87" s="2" t="s">
        <v>122</v>
      </c>
      <c r="B87" s="2" t="s">
        <v>328</v>
      </c>
      <c r="C87" s="2">
        <v>6</v>
      </c>
      <c r="D87" s="2" t="s">
        <v>1460</v>
      </c>
      <c r="E87" s="2" t="s">
        <v>1450</v>
      </c>
      <c r="F87" s="2">
        <v>0.04</v>
      </c>
      <c r="G87" s="2">
        <v>0.04</v>
      </c>
      <c r="H87" s="2">
        <v>80</v>
      </c>
      <c r="I87" s="2">
        <v>1028</v>
      </c>
      <c r="J87" s="2">
        <v>0.95</v>
      </c>
      <c r="K87" s="2">
        <v>0.7</v>
      </c>
      <c r="L87" s="2">
        <v>0.7</v>
      </c>
      <c r="M87" s="2" t="s">
        <v>834</v>
      </c>
      <c r="N87" s="15">
        <f t="shared" si="1"/>
        <v>1</v>
      </c>
    </row>
    <row r="88" spans="1:14" x14ac:dyDescent="0.45">
      <c r="A88" s="2" t="s">
        <v>122</v>
      </c>
      <c r="B88" s="2" t="s">
        <v>328</v>
      </c>
      <c r="C88" s="2">
        <v>7</v>
      </c>
      <c r="D88" s="2" t="s">
        <v>1451</v>
      </c>
      <c r="E88" s="2" t="s">
        <v>1452</v>
      </c>
      <c r="F88" s="2">
        <v>2.5000000000000001E-2</v>
      </c>
      <c r="G88" s="2">
        <v>0.21</v>
      </c>
      <c r="H88" s="2">
        <v>900</v>
      </c>
      <c r="I88" s="2">
        <v>1000</v>
      </c>
      <c r="J88" s="2">
        <v>0.9</v>
      </c>
      <c r="K88" s="2">
        <v>0.7</v>
      </c>
      <c r="L88" s="2">
        <v>0.7</v>
      </c>
      <c r="M88" s="2" t="s">
        <v>834</v>
      </c>
      <c r="N88" s="15">
        <f t="shared" si="1"/>
        <v>0.11904761904761905</v>
      </c>
    </row>
    <row r="89" spans="1:14" x14ac:dyDescent="0.45">
      <c r="A89" s="2" t="s">
        <v>122</v>
      </c>
      <c r="B89" s="2" t="s">
        <v>328</v>
      </c>
      <c r="C89" s="2">
        <v>8</v>
      </c>
      <c r="D89" s="2" t="s">
        <v>1463</v>
      </c>
      <c r="E89" s="2" t="s">
        <v>1464</v>
      </c>
      <c r="F89" s="2">
        <v>0.01</v>
      </c>
      <c r="G89" s="2">
        <v>0.35</v>
      </c>
      <c r="H89" s="2">
        <v>1200</v>
      </c>
      <c r="I89" s="2">
        <v>999</v>
      </c>
      <c r="J89" s="2">
        <v>0.9</v>
      </c>
      <c r="K89" s="2">
        <v>0.7</v>
      </c>
      <c r="L89" s="2">
        <v>0.7</v>
      </c>
      <c r="M89" s="2" t="s">
        <v>834</v>
      </c>
      <c r="N89" s="15">
        <f t="shared" si="1"/>
        <v>2.8571428571428574E-2</v>
      </c>
    </row>
    <row r="90" spans="1:14" x14ac:dyDescent="0.45">
      <c r="A90" s="2" t="s">
        <v>122</v>
      </c>
      <c r="B90" s="2" t="s">
        <v>328</v>
      </c>
      <c r="C90" s="2">
        <v>9</v>
      </c>
      <c r="D90" s="2" t="s">
        <v>1465</v>
      </c>
      <c r="E90" s="2" t="s">
        <v>1466</v>
      </c>
      <c r="F90" s="2">
        <v>1.4999999999999999E-2</v>
      </c>
      <c r="G90" s="2">
        <v>1.3</v>
      </c>
      <c r="H90" s="2">
        <v>2300</v>
      </c>
      <c r="I90" s="2">
        <v>839</v>
      </c>
      <c r="J90" s="2">
        <v>0.9</v>
      </c>
      <c r="K90" s="2">
        <v>0.7</v>
      </c>
      <c r="L90" s="2">
        <v>0.7</v>
      </c>
      <c r="M90" s="2" t="s">
        <v>834</v>
      </c>
      <c r="N90" s="15">
        <f t="shared" si="1"/>
        <v>1.1538461538461537E-2</v>
      </c>
    </row>
    <row r="91" spans="1:14" x14ac:dyDescent="0.45">
      <c r="A91" s="2" t="s">
        <v>122</v>
      </c>
      <c r="B91" s="2" t="s">
        <v>330</v>
      </c>
      <c r="C91" s="2">
        <v>1</v>
      </c>
      <c r="D91" s="2" t="s">
        <v>1461</v>
      </c>
      <c r="E91" s="2" t="s">
        <v>1462</v>
      </c>
      <c r="F91" s="2">
        <v>6.5000000000000002E-2</v>
      </c>
      <c r="G91" s="2">
        <v>1</v>
      </c>
      <c r="H91" s="2">
        <v>1</v>
      </c>
      <c r="I91" s="2">
        <v>1003</v>
      </c>
      <c r="J91" s="2">
        <v>0.7</v>
      </c>
      <c r="K91" s="2">
        <v>0.7</v>
      </c>
      <c r="L91" s="2">
        <v>0.7</v>
      </c>
      <c r="M91" s="2" t="s">
        <v>834</v>
      </c>
      <c r="N91" s="15">
        <f t="shared" si="1"/>
        <v>6.5000000000000002E-2</v>
      </c>
    </row>
    <row r="92" spans="1:14" x14ac:dyDescent="0.45">
      <c r="A92" s="2" t="s">
        <v>122</v>
      </c>
      <c r="B92" s="2" t="s">
        <v>330</v>
      </c>
      <c r="C92" s="2">
        <v>2</v>
      </c>
      <c r="D92" s="2" t="s">
        <v>1460</v>
      </c>
      <c r="E92" s="2" t="s">
        <v>1450</v>
      </c>
      <c r="F92" s="2">
        <v>0.04</v>
      </c>
      <c r="G92" s="2">
        <v>0.04</v>
      </c>
      <c r="H92" s="2">
        <v>80</v>
      </c>
      <c r="I92" s="2">
        <v>1028</v>
      </c>
      <c r="J92" s="2">
        <v>0.95</v>
      </c>
      <c r="K92" s="2">
        <v>0.7</v>
      </c>
      <c r="L92" s="2">
        <v>0.7</v>
      </c>
      <c r="M92" s="2" t="s">
        <v>834</v>
      </c>
      <c r="N92" s="15">
        <f t="shared" si="1"/>
        <v>1</v>
      </c>
    </row>
    <row r="93" spans="1:14" x14ac:dyDescent="0.45">
      <c r="A93" s="2" t="s">
        <v>122</v>
      </c>
      <c r="B93" s="2" t="s">
        <v>330</v>
      </c>
      <c r="C93" s="2">
        <v>3</v>
      </c>
      <c r="D93" s="2" t="s">
        <v>1451</v>
      </c>
      <c r="E93" s="2" t="s">
        <v>1452</v>
      </c>
      <c r="F93" s="2">
        <v>2.5000000000000001E-2</v>
      </c>
      <c r="G93" s="2">
        <v>0.21</v>
      </c>
      <c r="H93" s="2">
        <v>900</v>
      </c>
      <c r="I93" s="2">
        <v>1000</v>
      </c>
      <c r="J93" s="2">
        <v>0.9</v>
      </c>
      <c r="K93" s="2">
        <v>0.7</v>
      </c>
      <c r="L93" s="2">
        <v>0.7</v>
      </c>
      <c r="M93" s="2" t="s">
        <v>834</v>
      </c>
      <c r="N93" s="15">
        <f t="shared" si="1"/>
        <v>0.11904761904761905</v>
      </c>
    </row>
    <row r="94" spans="1:14" x14ac:dyDescent="0.45">
      <c r="A94" s="2" t="s">
        <v>122</v>
      </c>
      <c r="B94" s="2" t="s">
        <v>330</v>
      </c>
      <c r="C94" s="2">
        <v>4</v>
      </c>
      <c r="D94" s="2" t="s">
        <v>1463</v>
      </c>
      <c r="E94" s="2" t="s">
        <v>1464</v>
      </c>
      <c r="F94" s="2">
        <v>0.01</v>
      </c>
      <c r="G94" s="2">
        <v>0.35</v>
      </c>
      <c r="H94" s="2">
        <v>1200</v>
      </c>
      <c r="I94" s="2">
        <v>999</v>
      </c>
      <c r="J94" s="2">
        <v>0.9</v>
      </c>
      <c r="K94" s="2">
        <v>0.7</v>
      </c>
      <c r="L94" s="2">
        <v>0.7</v>
      </c>
      <c r="M94" s="2" t="s">
        <v>834</v>
      </c>
      <c r="N94" s="15">
        <f t="shared" si="1"/>
        <v>2.8571428571428574E-2</v>
      </c>
    </row>
    <row r="95" spans="1:14" x14ac:dyDescent="0.45">
      <c r="A95" s="2" t="s">
        <v>122</v>
      </c>
      <c r="B95" s="2" t="s">
        <v>330</v>
      </c>
      <c r="C95" s="2">
        <v>5</v>
      </c>
      <c r="D95" s="2" t="s">
        <v>1465</v>
      </c>
      <c r="E95" s="2" t="s">
        <v>1466</v>
      </c>
      <c r="F95" s="2">
        <v>1.4999999999999999E-2</v>
      </c>
      <c r="G95" s="2">
        <v>1.3</v>
      </c>
      <c r="H95" s="2">
        <v>2300</v>
      </c>
      <c r="I95" s="2">
        <v>839</v>
      </c>
      <c r="J95" s="2">
        <v>0.9</v>
      </c>
      <c r="K95" s="2">
        <v>0.7</v>
      </c>
      <c r="L95" s="2">
        <v>0.7</v>
      </c>
      <c r="M95" s="2" t="s">
        <v>834</v>
      </c>
      <c r="N95" s="15">
        <f t="shared" si="1"/>
        <v>1.1538461538461537E-2</v>
      </c>
    </row>
    <row r="96" spans="1:14" x14ac:dyDescent="0.45">
      <c r="A96" s="2" t="s">
        <v>122</v>
      </c>
      <c r="B96" s="2" t="s">
        <v>310</v>
      </c>
      <c r="C96" s="2">
        <v>1</v>
      </c>
      <c r="D96" s="2" t="s">
        <v>1467</v>
      </c>
      <c r="E96" s="2" t="s">
        <v>1468</v>
      </c>
      <c r="F96" s="2">
        <v>0.06</v>
      </c>
      <c r="G96" s="2">
        <v>1.046</v>
      </c>
      <c r="H96" s="2">
        <v>2300</v>
      </c>
      <c r="I96" s="2">
        <v>657</v>
      </c>
      <c r="J96" s="2">
        <v>0.95</v>
      </c>
      <c r="K96" s="2">
        <v>0.7</v>
      </c>
      <c r="L96" s="2">
        <v>0.7</v>
      </c>
      <c r="M96" s="2" t="s">
        <v>834</v>
      </c>
      <c r="N96" s="15">
        <f t="shared" si="1"/>
        <v>5.736137667304015E-2</v>
      </c>
    </row>
    <row r="97" spans="1:14" x14ac:dyDescent="0.45">
      <c r="A97" s="2" t="s">
        <v>122</v>
      </c>
      <c r="B97" s="2" t="s">
        <v>310</v>
      </c>
      <c r="C97" s="2">
        <v>2</v>
      </c>
      <c r="D97" s="2" t="s">
        <v>1469</v>
      </c>
      <c r="E97" s="2" t="s">
        <v>1470</v>
      </c>
      <c r="F97" s="2">
        <v>0.08</v>
      </c>
      <c r="G97" s="2">
        <v>1.2</v>
      </c>
      <c r="H97" s="2">
        <v>1700</v>
      </c>
      <c r="I97" s="2">
        <v>1000</v>
      </c>
      <c r="J97" s="2">
        <v>0.95</v>
      </c>
      <c r="K97" s="2">
        <v>0.7</v>
      </c>
      <c r="L97" s="2">
        <v>0.7</v>
      </c>
      <c r="M97" s="2" t="s">
        <v>834</v>
      </c>
      <c r="N97" s="15">
        <f t="shared" si="1"/>
        <v>6.6666666666666666E-2</v>
      </c>
    </row>
    <row r="98" spans="1:14" x14ac:dyDescent="0.45">
      <c r="A98" s="2" t="s">
        <v>122</v>
      </c>
      <c r="B98" s="2" t="s">
        <v>310</v>
      </c>
      <c r="C98" s="2">
        <v>3</v>
      </c>
      <c r="D98" s="2" t="s">
        <v>1447</v>
      </c>
      <c r="E98" s="2" t="s">
        <v>1438</v>
      </c>
      <c r="F98" s="2">
        <v>0.06</v>
      </c>
      <c r="G98" s="2">
        <v>0.04</v>
      </c>
      <c r="H98" s="2">
        <v>30</v>
      </c>
      <c r="I98" s="2">
        <v>1452</v>
      </c>
      <c r="J98" s="2">
        <v>0.95</v>
      </c>
      <c r="K98" s="2">
        <v>0.7</v>
      </c>
      <c r="L98" s="2">
        <v>0.7</v>
      </c>
      <c r="M98" s="2" t="s">
        <v>834</v>
      </c>
      <c r="N98" s="15">
        <f t="shared" si="1"/>
        <v>1.5</v>
      </c>
    </row>
    <row r="99" spans="1:14" x14ac:dyDescent="0.45">
      <c r="A99" s="2" t="s">
        <v>122</v>
      </c>
      <c r="B99" s="2" t="s">
        <v>310</v>
      </c>
      <c r="C99" s="2">
        <v>4</v>
      </c>
      <c r="D99" s="2" t="s">
        <v>1471</v>
      </c>
      <c r="E99" s="2" t="s">
        <v>1444</v>
      </c>
      <c r="F99" s="2">
        <v>0.05</v>
      </c>
      <c r="G99" s="2">
        <v>1.046</v>
      </c>
      <c r="H99" s="2">
        <v>2300</v>
      </c>
      <c r="I99" s="2">
        <v>657</v>
      </c>
      <c r="J99" s="2">
        <v>0.95</v>
      </c>
      <c r="K99" s="2">
        <v>0.7</v>
      </c>
      <c r="L99" s="2">
        <v>0.7</v>
      </c>
      <c r="M99" s="2" t="s">
        <v>834</v>
      </c>
      <c r="N99" s="15">
        <f t="shared" si="1"/>
        <v>4.780114722753346E-2</v>
      </c>
    </row>
    <row r="100" spans="1:14" x14ac:dyDescent="0.45">
      <c r="A100" s="2" t="s">
        <v>122</v>
      </c>
      <c r="B100" s="2" t="s">
        <v>310</v>
      </c>
      <c r="C100" s="2">
        <v>5</v>
      </c>
      <c r="D100" s="2" t="s">
        <v>1472</v>
      </c>
      <c r="E100" s="2" t="s">
        <v>1436</v>
      </c>
      <c r="F100" s="2">
        <v>0.35</v>
      </c>
      <c r="G100" s="2">
        <v>0.28499999999999998</v>
      </c>
      <c r="H100" s="2">
        <v>1</v>
      </c>
      <c r="I100" s="2">
        <v>1004</v>
      </c>
      <c r="J100" s="2">
        <v>0.7</v>
      </c>
      <c r="K100" s="2">
        <v>0.7</v>
      </c>
      <c r="L100" s="2">
        <v>0.7</v>
      </c>
      <c r="M100" s="2" t="s">
        <v>834</v>
      </c>
      <c r="N100" s="15">
        <f t="shared" si="1"/>
        <v>1.2280701754385965</v>
      </c>
    </row>
    <row r="101" spans="1:14" x14ac:dyDescent="0.45">
      <c r="A101" s="2" t="s">
        <v>122</v>
      </c>
      <c r="B101" s="2" t="s">
        <v>310</v>
      </c>
      <c r="C101" s="2">
        <v>6</v>
      </c>
      <c r="D101" s="2" t="s">
        <v>1473</v>
      </c>
      <c r="E101" s="2" t="s">
        <v>1474</v>
      </c>
      <c r="F101" s="2">
        <v>0.1</v>
      </c>
      <c r="G101" s="2">
        <v>1.046</v>
      </c>
      <c r="H101" s="2">
        <v>2300</v>
      </c>
      <c r="I101" s="2">
        <v>657</v>
      </c>
      <c r="J101" s="2">
        <v>0.95</v>
      </c>
      <c r="K101" s="2">
        <v>0.7</v>
      </c>
      <c r="L101" s="2">
        <v>0.7</v>
      </c>
      <c r="M101" s="2" t="s">
        <v>834</v>
      </c>
      <c r="N101" s="15">
        <f t="shared" si="1"/>
        <v>9.5602294455066919E-2</v>
      </c>
    </row>
    <row r="102" spans="1:14" x14ac:dyDescent="0.45">
      <c r="A102" s="2" t="s">
        <v>122</v>
      </c>
      <c r="B102" s="2" t="s">
        <v>310</v>
      </c>
      <c r="C102" s="2">
        <v>7</v>
      </c>
      <c r="D102" s="2" t="s">
        <v>1475</v>
      </c>
      <c r="E102" s="2" t="s">
        <v>1476</v>
      </c>
      <c r="F102" s="2">
        <v>0.2</v>
      </c>
      <c r="G102" s="2">
        <v>1.2</v>
      </c>
      <c r="H102" s="2">
        <v>1700</v>
      </c>
      <c r="I102" s="2">
        <v>1000</v>
      </c>
      <c r="J102" s="2">
        <v>0.95</v>
      </c>
      <c r="K102" s="2">
        <v>0.7</v>
      </c>
      <c r="L102" s="2">
        <v>0.7</v>
      </c>
      <c r="M102" s="2" t="s">
        <v>834</v>
      </c>
      <c r="N102" s="15">
        <f t="shared" si="1"/>
        <v>0.16666666666666669</v>
      </c>
    </row>
    <row r="103" spans="1:14" x14ac:dyDescent="0.45">
      <c r="A103" s="2" t="s">
        <v>122</v>
      </c>
      <c r="B103" s="2" t="s">
        <v>1395</v>
      </c>
      <c r="C103" s="2">
        <v>1</v>
      </c>
      <c r="D103" s="2" t="s">
        <v>1477</v>
      </c>
      <c r="E103" s="2" t="s">
        <v>1466</v>
      </c>
      <c r="F103" s="2">
        <v>0.01</v>
      </c>
      <c r="G103" s="2">
        <v>1.3</v>
      </c>
      <c r="H103" s="2">
        <v>2300</v>
      </c>
      <c r="I103" s="2">
        <v>839</v>
      </c>
      <c r="J103" s="2">
        <v>0.9</v>
      </c>
      <c r="K103" s="2">
        <v>0.7</v>
      </c>
      <c r="L103" s="2">
        <v>0.7</v>
      </c>
      <c r="M103" s="2" t="s">
        <v>834</v>
      </c>
      <c r="N103" s="15">
        <f t="shared" si="1"/>
        <v>7.6923076923076919E-3</v>
      </c>
    </row>
    <row r="104" spans="1:14" x14ac:dyDescent="0.45">
      <c r="A104" s="2" t="s">
        <v>122</v>
      </c>
      <c r="B104" s="2" t="s">
        <v>1395</v>
      </c>
      <c r="C104" s="2">
        <v>2</v>
      </c>
      <c r="D104" s="2" t="s">
        <v>1478</v>
      </c>
      <c r="E104" s="2" t="s">
        <v>1479</v>
      </c>
      <c r="F104" s="2">
        <v>0.15</v>
      </c>
      <c r="G104" s="2">
        <v>1.2</v>
      </c>
      <c r="H104" s="2">
        <v>1700</v>
      </c>
      <c r="I104" s="2">
        <v>1000</v>
      </c>
      <c r="J104" s="2">
        <v>0.95</v>
      </c>
      <c r="K104" s="2">
        <v>0.7</v>
      </c>
      <c r="L104" s="2">
        <v>0.7</v>
      </c>
      <c r="M104" s="2" t="s">
        <v>834</v>
      </c>
      <c r="N104" s="15">
        <f t="shared" si="1"/>
        <v>0.125</v>
      </c>
    </row>
    <row r="105" spans="1:14" x14ac:dyDescent="0.45">
      <c r="A105" s="2" t="s">
        <v>122</v>
      </c>
      <c r="B105" s="2" t="s">
        <v>1395</v>
      </c>
      <c r="C105" s="2">
        <v>3</v>
      </c>
      <c r="D105" s="2" t="s">
        <v>1437</v>
      </c>
      <c r="E105" s="2" t="s">
        <v>1438</v>
      </c>
      <c r="F105" s="2">
        <v>0.1</v>
      </c>
      <c r="G105" s="2">
        <v>0.04</v>
      </c>
      <c r="H105" s="2">
        <v>30</v>
      </c>
      <c r="I105" s="2">
        <v>1452</v>
      </c>
      <c r="J105" s="2">
        <v>0.95</v>
      </c>
      <c r="K105" s="2">
        <v>0.7</v>
      </c>
      <c r="L105" s="2">
        <v>0.7</v>
      </c>
      <c r="M105" s="2" t="s">
        <v>834</v>
      </c>
      <c r="N105" s="15">
        <f t="shared" si="1"/>
        <v>2.5</v>
      </c>
    </row>
    <row r="106" spans="1:14" x14ac:dyDescent="0.45">
      <c r="A106" s="2" t="s">
        <v>122</v>
      </c>
      <c r="B106" s="2" t="s">
        <v>1395</v>
      </c>
      <c r="C106" s="2">
        <v>4</v>
      </c>
      <c r="D106" s="2" t="s">
        <v>1480</v>
      </c>
      <c r="E106" s="2" t="s">
        <v>1481</v>
      </c>
      <c r="F106" s="2">
        <v>0.15</v>
      </c>
      <c r="G106" s="2">
        <v>0.66</v>
      </c>
      <c r="H106" s="2">
        <v>1100</v>
      </c>
      <c r="I106" s="2">
        <v>839</v>
      </c>
      <c r="J106" s="2">
        <v>0.95</v>
      </c>
      <c r="K106" s="2">
        <v>0.7</v>
      </c>
      <c r="L106" s="2">
        <v>0.7</v>
      </c>
      <c r="M106" s="2" t="s">
        <v>834</v>
      </c>
      <c r="N106" s="15">
        <f t="shared" si="1"/>
        <v>0.22727272727272727</v>
      </c>
    </row>
    <row r="107" spans="1:14" x14ac:dyDescent="0.45">
      <c r="A107" s="2" t="s">
        <v>122</v>
      </c>
      <c r="B107" s="2" t="s">
        <v>1395</v>
      </c>
      <c r="C107" s="2">
        <v>5</v>
      </c>
      <c r="D107" s="2" t="s">
        <v>1482</v>
      </c>
      <c r="E107" s="2" t="s">
        <v>1446</v>
      </c>
      <c r="F107" s="2">
        <v>0.02</v>
      </c>
      <c r="G107" s="2">
        <v>0.35</v>
      </c>
      <c r="H107" s="2">
        <v>1200</v>
      </c>
      <c r="I107" s="2">
        <v>999</v>
      </c>
      <c r="J107" s="2">
        <v>0.9</v>
      </c>
      <c r="K107" s="2">
        <v>0.7</v>
      </c>
      <c r="L107" s="2">
        <v>0.7</v>
      </c>
      <c r="M107" s="2" t="s">
        <v>834</v>
      </c>
      <c r="N107" s="15">
        <f t="shared" si="1"/>
        <v>5.7142857142857148E-2</v>
      </c>
    </row>
    <row r="108" spans="1:14" x14ac:dyDescent="0.45">
      <c r="A108" s="2" t="s">
        <v>122</v>
      </c>
      <c r="B108" s="2" t="s">
        <v>306</v>
      </c>
      <c r="C108" s="2">
        <v>1</v>
      </c>
      <c r="D108" s="2" t="s">
        <v>1483</v>
      </c>
      <c r="E108" s="2" t="s">
        <v>1484</v>
      </c>
      <c r="F108" s="2">
        <v>0.08</v>
      </c>
      <c r="G108" s="2">
        <v>1.2</v>
      </c>
      <c r="H108" s="2">
        <v>1700</v>
      </c>
      <c r="I108" s="2">
        <v>1000</v>
      </c>
      <c r="J108" s="2">
        <v>0.95</v>
      </c>
      <c r="K108" s="2">
        <v>0.7</v>
      </c>
      <c r="L108" s="2">
        <v>0.7</v>
      </c>
      <c r="M108" s="2" t="s">
        <v>834</v>
      </c>
      <c r="N108" s="15">
        <f t="shared" si="1"/>
        <v>6.6666666666666666E-2</v>
      </c>
    </row>
    <row r="109" spans="1:14" x14ac:dyDescent="0.45">
      <c r="A109" s="2" t="s">
        <v>122</v>
      </c>
      <c r="B109" s="2" t="s">
        <v>306</v>
      </c>
      <c r="C109" s="2">
        <v>2</v>
      </c>
      <c r="D109" s="2" t="s">
        <v>1485</v>
      </c>
      <c r="E109" s="2" t="s">
        <v>1470</v>
      </c>
      <c r="F109" s="2">
        <v>0.12</v>
      </c>
      <c r="G109" s="2">
        <v>1.2</v>
      </c>
      <c r="H109" s="2">
        <v>1700</v>
      </c>
      <c r="I109" s="2">
        <v>1000</v>
      </c>
      <c r="J109" s="2">
        <v>0.95</v>
      </c>
      <c r="K109" s="2">
        <v>0.7</v>
      </c>
      <c r="L109" s="2">
        <v>0.7</v>
      </c>
      <c r="M109" s="2" t="s">
        <v>834</v>
      </c>
      <c r="N109" s="15">
        <f t="shared" si="1"/>
        <v>0.1</v>
      </c>
    </row>
    <row r="110" spans="1:14" x14ac:dyDescent="0.45">
      <c r="A110" s="2" t="s">
        <v>122</v>
      </c>
      <c r="B110" s="2" t="s">
        <v>306</v>
      </c>
      <c r="C110" s="2">
        <v>3</v>
      </c>
      <c r="D110" s="2" t="s">
        <v>1486</v>
      </c>
      <c r="E110" s="2" t="s">
        <v>1438</v>
      </c>
      <c r="F110" s="2">
        <v>0.08</v>
      </c>
      <c r="G110" s="2">
        <v>0.04</v>
      </c>
      <c r="H110" s="2">
        <v>30</v>
      </c>
      <c r="I110" s="2">
        <v>1452</v>
      </c>
      <c r="J110" s="2">
        <v>0.95</v>
      </c>
      <c r="K110" s="2">
        <v>0.7</v>
      </c>
      <c r="L110" s="2">
        <v>0.7</v>
      </c>
      <c r="M110" s="2" t="s">
        <v>834</v>
      </c>
      <c r="N110" s="15">
        <f t="shared" si="1"/>
        <v>2</v>
      </c>
    </row>
    <row r="111" spans="1:14" x14ac:dyDescent="0.45">
      <c r="A111" s="2" t="s">
        <v>122</v>
      </c>
      <c r="B111" s="2" t="s">
        <v>306</v>
      </c>
      <c r="C111" s="2">
        <v>4</v>
      </c>
      <c r="D111" s="2" t="s">
        <v>1487</v>
      </c>
      <c r="E111" s="2" t="s">
        <v>1444</v>
      </c>
      <c r="F111" s="2">
        <v>0.25</v>
      </c>
      <c r="G111" s="2">
        <v>1.046</v>
      </c>
      <c r="H111" s="2">
        <v>2300</v>
      </c>
      <c r="I111" s="2">
        <v>657</v>
      </c>
      <c r="J111" s="2">
        <v>0.95</v>
      </c>
      <c r="K111" s="2">
        <v>0.7</v>
      </c>
      <c r="L111" s="2">
        <v>0.7</v>
      </c>
      <c r="M111" s="2" t="s">
        <v>834</v>
      </c>
      <c r="N111" s="15">
        <f t="shared" si="1"/>
        <v>0.23900573613766729</v>
      </c>
    </row>
    <row r="112" spans="1:14" x14ac:dyDescent="0.45">
      <c r="A112" s="2" t="s">
        <v>224</v>
      </c>
      <c r="B112" s="2" t="s">
        <v>1376</v>
      </c>
      <c r="C112" s="2">
        <v>1</v>
      </c>
      <c r="D112" s="2" t="s">
        <v>1424</v>
      </c>
      <c r="E112" s="2" t="s">
        <v>1424</v>
      </c>
      <c r="F112" s="2">
        <v>1.2699999999999999E-2</v>
      </c>
      <c r="G112" s="2">
        <v>0.16</v>
      </c>
      <c r="H112" s="2">
        <v>800</v>
      </c>
      <c r="I112" s="2">
        <v>1090</v>
      </c>
      <c r="J112" s="2">
        <v>0.9</v>
      </c>
      <c r="K112" s="2">
        <v>0.5</v>
      </c>
      <c r="L112" s="2">
        <v>0.5</v>
      </c>
      <c r="M112" s="2" t="s">
        <v>1425</v>
      </c>
      <c r="N112" s="15">
        <f t="shared" si="1"/>
        <v>7.9375000000000001E-2</v>
      </c>
    </row>
    <row r="113" spans="1:14" x14ac:dyDescent="0.45">
      <c r="A113" s="2" t="s">
        <v>224</v>
      </c>
      <c r="B113" s="2" t="s">
        <v>1376</v>
      </c>
      <c r="C113" s="2">
        <v>2</v>
      </c>
      <c r="D113" s="2" t="s">
        <v>1426</v>
      </c>
      <c r="E113" s="2" t="s">
        <v>1426</v>
      </c>
      <c r="F113" s="2">
        <v>0.1</v>
      </c>
      <c r="G113" s="2">
        <v>0.66700000000000004</v>
      </c>
      <c r="H113" s="2">
        <v>1.28</v>
      </c>
      <c r="I113" s="2">
        <v>1000</v>
      </c>
      <c r="J113" s="2">
        <v>0.9</v>
      </c>
      <c r="K113" s="2">
        <v>0.7</v>
      </c>
      <c r="L113" s="2">
        <v>0.7</v>
      </c>
      <c r="M113" s="2" t="s">
        <v>1427</v>
      </c>
      <c r="N113" s="15">
        <f t="shared" si="1"/>
        <v>0.14992503748125938</v>
      </c>
    </row>
    <row r="114" spans="1:14" x14ac:dyDescent="0.45">
      <c r="A114" s="2" t="s">
        <v>224</v>
      </c>
      <c r="B114" s="2" t="s">
        <v>1376</v>
      </c>
      <c r="C114" s="2">
        <v>3</v>
      </c>
      <c r="D114" s="2" t="s">
        <v>1424</v>
      </c>
      <c r="E114" s="2" t="s">
        <v>1424</v>
      </c>
      <c r="F114" s="2">
        <v>1.2699999999999999E-2</v>
      </c>
      <c r="G114" s="2">
        <v>0.16</v>
      </c>
      <c r="H114" s="2">
        <v>800</v>
      </c>
      <c r="I114" s="2">
        <v>1090</v>
      </c>
      <c r="J114" s="2">
        <v>0.9</v>
      </c>
      <c r="K114" s="2">
        <v>0.5</v>
      </c>
      <c r="L114" s="2">
        <v>0.5</v>
      </c>
      <c r="M114" s="2" t="s">
        <v>1425</v>
      </c>
      <c r="N114" s="15">
        <f t="shared" si="1"/>
        <v>7.9375000000000001E-2</v>
      </c>
    </row>
    <row r="115" spans="1:14" x14ac:dyDescent="0.45">
      <c r="A115" s="2" t="s">
        <v>224</v>
      </c>
      <c r="B115" s="2" t="s">
        <v>1379</v>
      </c>
      <c r="C115" s="2">
        <v>1</v>
      </c>
      <c r="D115" s="2" t="s">
        <v>1428</v>
      </c>
      <c r="E115" s="2" t="s">
        <v>1428</v>
      </c>
      <c r="F115" s="2">
        <v>0.02</v>
      </c>
      <c r="G115" s="2">
        <v>0.06</v>
      </c>
      <c r="H115" s="2">
        <v>368</v>
      </c>
      <c r="I115" s="2">
        <v>590</v>
      </c>
      <c r="J115" s="2">
        <v>0.9</v>
      </c>
      <c r="K115" s="2">
        <v>0.2</v>
      </c>
      <c r="L115" s="2">
        <v>0.2</v>
      </c>
      <c r="M115" s="2" t="s">
        <v>1425</v>
      </c>
      <c r="N115" s="15">
        <f t="shared" si="1"/>
        <v>0.33333333333333337</v>
      </c>
    </row>
    <row r="116" spans="1:14" x14ac:dyDescent="0.45">
      <c r="A116" s="2" t="s">
        <v>224</v>
      </c>
      <c r="B116" s="2" t="s">
        <v>1379</v>
      </c>
      <c r="C116" s="2">
        <v>2</v>
      </c>
      <c r="D116" s="2" t="s">
        <v>1429</v>
      </c>
      <c r="E116" s="2" t="s">
        <v>1429</v>
      </c>
      <c r="F116" s="2">
        <v>0.1</v>
      </c>
      <c r="G116" s="2">
        <v>0.55600000000000005</v>
      </c>
      <c r="H116" s="2">
        <v>1.28</v>
      </c>
      <c r="I116" s="2">
        <v>1000</v>
      </c>
      <c r="J116" s="2">
        <v>0.9</v>
      </c>
      <c r="K116" s="2">
        <v>0.7</v>
      </c>
      <c r="L116" s="2">
        <v>0.7</v>
      </c>
      <c r="M116" s="2" t="s">
        <v>1427</v>
      </c>
      <c r="N116" s="15">
        <f t="shared" si="1"/>
        <v>0.17985611510791366</v>
      </c>
    </row>
    <row r="117" spans="1:14" x14ac:dyDescent="0.45">
      <c r="A117" s="2" t="s">
        <v>224</v>
      </c>
      <c r="B117" s="2" t="s">
        <v>1379</v>
      </c>
      <c r="C117" s="2">
        <v>3</v>
      </c>
      <c r="D117" s="2" t="s">
        <v>1430</v>
      </c>
      <c r="E117" s="2" t="s">
        <v>1430</v>
      </c>
      <c r="F117" s="2">
        <v>0.1</v>
      </c>
      <c r="G117" s="2">
        <v>0.53</v>
      </c>
      <c r="H117" s="2">
        <v>1280</v>
      </c>
      <c r="I117" s="2">
        <v>840</v>
      </c>
      <c r="J117" s="2">
        <v>0.9</v>
      </c>
      <c r="K117" s="2">
        <v>0.8</v>
      </c>
      <c r="L117" s="2">
        <v>0.8</v>
      </c>
      <c r="M117" s="2" t="s">
        <v>834</v>
      </c>
      <c r="N117" s="15">
        <f t="shared" si="1"/>
        <v>0.18867924528301888</v>
      </c>
    </row>
    <row r="118" spans="1:14" x14ac:dyDescent="0.45">
      <c r="A118" s="2" t="s">
        <v>224</v>
      </c>
      <c r="B118" s="2" t="s">
        <v>287</v>
      </c>
      <c r="C118" s="2">
        <v>1</v>
      </c>
      <c r="D118" s="2" t="s">
        <v>1433</v>
      </c>
      <c r="E118" s="2" t="s">
        <v>1434</v>
      </c>
      <c r="F118" s="2">
        <v>5.0000000000000001E-3</v>
      </c>
      <c r="G118" s="2">
        <v>220</v>
      </c>
      <c r="H118" s="2">
        <v>2700</v>
      </c>
      <c r="I118" s="2">
        <v>896</v>
      </c>
      <c r="J118" s="2">
        <v>0.2</v>
      </c>
      <c r="K118" s="2">
        <v>0.7</v>
      </c>
      <c r="L118" s="2">
        <v>0.7</v>
      </c>
      <c r="M118" s="2" t="s">
        <v>834</v>
      </c>
      <c r="N118" s="15">
        <f t="shared" si="1"/>
        <v>2.2727272727272729E-5</v>
      </c>
    </row>
    <row r="119" spans="1:14" x14ac:dyDescent="0.45">
      <c r="A119" s="2" t="s">
        <v>224</v>
      </c>
      <c r="B119" s="2" t="s">
        <v>287</v>
      </c>
      <c r="C119" s="2">
        <v>2</v>
      </c>
      <c r="D119" s="2" t="s">
        <v>1435</v>
      </c>
      <c r="E119" s="2" t="s">
        <v>1436</v>
      </c>
      <c r="F119" s="2">
        <v>3.5000000000000003E-2</v>
      </c>
      <c r="G119" s="2">
        <v>0.28499999999999998</v>
      </c>
      <c r="H119" s="2">
        <v>1</v>
      </c>
      <c r="I119" s="2">
        <v>1004</v>
      </c>
      <c r="J119" s="2">
        <v>0.7</v>
      </c>
      <c r="K119" s="2">
        <v>0.7</v>
      </c>
      <c r="L119" s="2">
        <v>0.7</v>
      </c>
      <c r="M119" s="2" t="s">
        <v>834</v>
      </c>
      <c r="N119" s="15">
        <f t="shared" si="1"/>
        <v>0.12280701754385967</v>
      </c>
    </row>
    <row r="120" spans="1:14" x14ac:dyDescent="0.45">
      <c r="A120" s="2" t="s">
        <v>224</v>
      </c>
      <c r="B120" s="2" t="s">
        <v>287</v>
      </c>
      <c r="C120" s="2">
        <v>3</v>
      </c>
      <c r="D120" s="2" t="s">
        <v>1447</v>
      </c>
      <c r="E120" s="2" t="s">
        <v>1438</v>
      </c>
      <c r="F120" s="2">
        <v>0.06</v>
      </c>
      <c r="G120" s="2">
        <v>0.04</v>
      </c>
      <c r="H120" s="2">
        <v>30</v>
      </c>
      <c r="I120" s="2">
        <v>1452</v>
      </c>
      <c r="J120" s="2">
        <v>0.95</v>
      </c>
      <c r="K120" s="2">
        <v>0.7</v>
      </c>
      <c r="L120" s="2">
        <v>0.7</v>
      </c>
      <c r="M120" s="2" t="s">
        <v>834</v>
      </c>
      <c r="N120" s="15">
        <f t="shared" si="1"/>
        <v>1.5</v>
      </c>
    </row>
    <row r="121" spans="1:14" x14ac:dyDescent="0.45">
      <c r="A121" s="2" t="s">
        <v>224</v>
      </c>
      <c r="B121" s="2" t="s">
        <v>287</v>
      </c>
      <c r="C121" s="2">
        <v>4</v>
      </c>
      <c r="D121" s="2" t="s">
        <v>1439</v>
      </c>
      <c r="E121" s="2" t="s">
        <v>1440</v>
      </c>
      <c r="F121" s="2">
        <v>5.0000000000000001E-3</v>
      </c>
      <c r="G121" s="2">
        <v>0.23</v>
      </c>
      <c r="H121" s="2">
        <v>1100</v>
      </c>
      <c r="I121" s="2">
        <v>1000</v>
      </c>
      <c r="J121" s="2">
        <v>0.95</v>
      </c>
      <c r="K121" s="2">
        <v>0.7</v>
      </c>
      <c r="L121" s="2">
        <v>0.7</v>
      </c>
      <c r="M121" s="2" t="s">
        <v>834</v>
      </c>
      <c r="N121" s="15">
        <f t="shared" si="1"/>
        <v>2.1739130434782608E-2</v>
      </c>
    </row>
    <row r="122" spans="1:14" x14ac:dyDescent="0.45">
      <c r="A122" s="2" t="s">
        <v>224</v>
      </c>
      <c r="B122" s="2" t="s">
        <v>287</v>
      </c>
      <c r="C122" s="2">
        <v>5</v>
      </c>
      <c r="D122" s="2" t="s">
        <v>1448</v>
      </c>
      <c r="E122" s="2" t="s">
        <v>1442</v>
      </c>
      <c r="F122" s="2">
        <v>0.2</v>
      </c>
      <c r="G122" s="2">
        <v>1</v>
      </c>
      <c r="H122" s="2">
        <v>1</v>
      </c>
      <c r="I122" s="2">
        <v>1004</v>
      </c>
      <c r="J122" s="2">
        <v>0.7</v>
      </c>
      <c r="K122" s="2">
        <v>0.7</v>
      </c>
      <c r="L122" s="2">
        <v>0.7</v>
      </c>
      <c r="M122" s="2" t="s">
        <v>834</v>
      </c>
      <c r="N122" s="15">
        <f t="shared" si="1"/>
        <v>0.2</v>
      </c>
    </row>
    <row r="123" spans="1:14" x14ac:dyDescent="0.45">
      <c r="A123" s="2" t="s">
        <v>224</v>
      </c>
      <c r="B123" s="2" t="s">
        <v>287</v>
      </c>
      <c r="C123" s="2">
        <v>6</v>
      </c>
      <c r="D123" s="2" t="s">
        <v>1449</v>
      </c>
      <c r="E123" s="2" t="s">
        <v>1450</v>
      </c>
      <c r="F123" s="2">
        <v>6.5000000000000002E-2</v>
      </c>
      <c r="G123" s="2">
        <v>0.04</v>
      </c>
      <c r="H123" s="2">
        <v>80</v>
      </c>
      <c r="I123" s="2">
        <v>1028</v>
      </c>
      <c r="J123" s="2">
        <v>0.95</v>
      </c>
      <c r="K123" s="2">
        <v>0.7</v>
      </c>
      <c r="L123" s="2">
        <v>0.7</v>
      </c>
      <c r="M123" s="2" t="s">
        <v>834</v>
      </c>
      <c r="N123" s="15">
        <f t="shared" si="1"/>
        <v>1.625</v>
      </c>
    </row>
    <row r="124" spans="1:14" x14ac:dyDescent="0.45">
      <c r="A124" s="2" t="s">
        <v>224</v>
      </c>
      <c r="B124" s="2" t="s">
        <v>287</v>
      </c>
      <c r="C124" s="2">
        <v>7</v>
      </c>
      <c r="D124" s="2" t="s">
        <v>1451</v>
      </c>
      <c r="E124" s="2" t="s">
        <v>1452</v>
      </c>
      <c r="F124" s="2">
        <v>2.5000000000000001E-2</v>
      </c>
      <c r="G124" s="2">
        <v>0.21</v>
      </c>
      <c r="H124" s="2">
        <v>900</v>
      </c>
      <c r="I124" s="2">
        <v>1000</v>
      </c>
      <c r="J124" s="2">
        <v>0.9</v>
      </c>
      <c r="K124" s="2">
        <v>0.7</v>
      </c>
      <c r="L124" s="2">
        <v>0.7</v>
      </c>
      <c r="M124" s="2" t="s">
        <v>834</v>
      </c>
      <c r="N124" s="15">
        <f t="shared" si="1"/>
        <v>0.11904761904761905</v>
      </c>
    </row>
    <row r="125" spans="1:14" x14ac:dyDescent="0.45">
      <c r="A125" s="2" t="s">
        <v>224</v>
      </c>
      <c r="B125" s="2" t="s">
        <v>287</v>
      </c>
      <c r="C125" s="2">
        <v>8</v>
      </c>
      <c r="D125" s="2" t="s">
        <v>1445</v>
      </c>
      <c r="E125" s="2" t="s">
        <v>1446</v>
      </c>
      <c r="F125" s="2">
        <v>0.01</v>
      </c>
      <c r="G125" s="2">
        <v>0.35</v>
      </c>
      <c r="H125" s="2">
        <v>1200</v>
      </c>
      <c r="I125" s="2">
        <v>999</v>
      </c>
      <c r="J125" s="2">
        <v>0.9</v>
      </c>
      <c r="K125" s="2">
        <v>0.7</v>
      </c>
      <c r="L125" s="2">
        <v>0.7</v>
      </c>
      <c r="M125" s="2" t="s">
        <v>834</v>
      </c>
      <c r="N125" s="15">
        <f t="shared" si="1"/>
        <v>2.8571428571428574E-2</v>
      </c>
    </row>
    <row r="126" spans="1:14" x14ac:dyDescent="0.45">
      <c r="A126" s="2" t="s">
        <v>224</v>
      </c>
      <c r="B126" s="2" t="s">
        <v>291</v>
      </c>
      <c r="C126" s="2">
        <v>1</v>
      </c>
      <c r="D126" s="2" t="s">
        <v>1433</v>
      </c>
      <c r="E126" s="2" t="s">
        <v>1434</v>
      </c>
      <c r="F126" s="2">
        <v>5.0000000000000001E-3</v>
      </c>
      <c r="G126" s="2">
        <v>220</v>
      </c>
      <c r="H126" s="2">
        <v>2700</v>
      </c>
      <c r="I126" s="2">
        <v>896</v>
      </c>
      <c r="J126" s="2">
        <v>0.2</v>
      </c>
      <c r="K126" s="2">
        <v>0.7</v>
      </c>
      <c r="L126" s="2">
        <v>0.7</v>
      </c>
      <c r="M126" s="2" t="s">
        <v>834</v>
      </c>
      <c r="N126" s="15">
        <f t="shared" si="1"/>
        <v>2.2727272727272729E-5</v>
      </c>
    </row>
    <row r="127" spans="1:14" x14ac:dyDescent="0.45">
      <c r="A127" s="2" t="s">
        <v>224</v>
      </c>
      <c r="B127" s="2" t="s">
        <v>291</v>
      </c>
      <c r="C127" s="2">
        <v>2</v>
      </c>
      <c r="D127" s="2" t="s">
        <v>1435</v>
      </c>
      <c r="E127" s="2" t="s">
        <v>1436</v>
      </c>
      <c r="F127" s="2">
        <v>3.5000000000000003E-2</v>
      </c>
      <c r="G127" s="2">
        <v>0.28499999999999998</v>
      </c>
      <c r="H127" s="2">
        <v>1</v>
      </c>
      <c r="I127" s="2">
        <v>1004</v>
      </c>
      <c r="J127" s="2">
        <v>0.7</v>
      </c>
      <c r="K127" s="2">
        <v>0.7</v>
      </c>
      <c r="L127" s="2">
        <v>0.7</v>
      </c>
      <c r="M127" s="2" t="s">
        <v>834</v>
      </c>
      <c r="N127" s="15">
        <f t="shared" si="1"/>
        <v>0.12280701754385967</v>
      </c>
    </row>
    <row r="128" spans="1:14" x14ac:dyDescent="0.45">
      <c r="A128" s="2" t="s">
        <v>224</v>
      </c>
      <c r="B128" s="2" t="s">
        <v>291</v>
      </c>
      <c r="C128" s="2">
        <v>3</v>
      </c>
      <c r="D128" s="2" t="s">
        <v>1437</v>
      </c>
      <c r="E128" s="2" t="s">
        <v>1438</v>
      </c>
      <c r="F128" s="2">
        <v>0.1</v>
      </c>
      <c r="G128" s="2">
        <v>0.04</v>
      </c>
      <c r="H128" s="2">
        <v>30</v>
      </c>
      <c r="I128" s="2">
        <v>1452</v>
      </c>
      <c r="J128" s="2">
        <v>0.95</v>
      </c>
      <c r="K128" s="2">
        <v>0.7</v>
      </c>
      <c r="L128" s="2">
        <v>0.7</v>
      </c>
      <c r="M128" s="2" t="s">
        <v>834</v>
      </c>
      <c r="N128" s="15">
        <f t="shared" si="1"/>
        <v>2.5</v>
      </c>
    </row>
    <row r="129" spans="1:14" x14ac:dyDescent="0.45">
      <c r="A129" s="2" t="s">
        <v>224</v>
      </c>
      <c r="B129" s="2" t="s">
        <v>291</v>
      </c>
      <c r="C129" s="2">
        <v>4</v>
      </c>
      <c r="D129" s="2" t="s">
        <v>1439</v>
      </c>
      <c r="E129" s="2" t="s">
        <v>1440</v>
      </c>
      <c r="F129" s="2">
        <v>5.0000000000000001E-3</v>
      </c>
      <c r="G129" s="2">
        <v>0.23</v>
      </c>
      <c r="H129" s="2">
        <v>1100</v>
      </c>
      <c r="I129" s="2">
        <v>1000</v>
      </c>
      <c r="J129" s="2">
        <v>0.95</v>
      </c>
      <c r="K129" s="2">
        <v>0.7</v>
      </c>
      <c r="L129" s="2">
        <v>0.7</v>
      </c>
      <c r="M129" s="2" t="s">
        <v>834</v>
      </c>
      <c r="N129" s="15">
        <f t="shared" si="1"/>
        <v>2.1739130434782608E-2</v>
      </c>
    </row>
    <row r="130" spans="1:14" x14ac:dyDescent="0.45">
      <c r="A130" s="2" t="s">
        <v>224</v>
      </c>
      <c r="B130" s="2" t="s">
        <v>291</v>
      </c>
      <c r="C130" s="2">
        <v>5</v>
      </c>
      <c r="D130" s="2" t="s">
        <v>1454</v>
      </c>
      <c r="E130" s="2" t="s">
        <v>1442</v>
      </c>
      <c r="F130" s="2">
        <v>0.26</v>
      </c>
      <c r="G130" s="2">
        <v>1</v>
      </c>
      <c r="H130" s="2">
        <v>1</v>
      </c>
      <c r="I130" s="2">
        <v>1004</v>
      </c>
      <c r="J130" s="2">
        <v>0.7</v>
      </c>
      <c r="K130" s="2">
        <v>0.7</v>
      </c>
      <c r="L130" s="2">
        <v>0.7</v>
      </c>
      <c r="M130" s="2" t="s">
        <v>834</v>
      </c>
      <c r="N130" s="15">
        <f t="shared" ref="N130:N193" si="2">IF(G130&gt;0,F130/G130,0)</f>
        <v>0.26</v>
      </c>
    </row>
    <row r="131" spans="1:14" x14ac:dyDescent="0.45">
      <c r="A131" s="2" t="s">
        <v>224</v>
      </c>
      <c r="B131" s="2" t="s">
        <v>291</v>
      </c>
      <c r="C131" s="2">
        <v>6</v>
      </c>
      <c r="D131" s="2" t="s">
        <v>1449</v>
      </c>
      <c r="E131" s="2" t="s">
        <v>1450</v>
      </c>
      <c r="F131" s="2">
        <v>6.5000000000000002E-2</v>
      </c>
      <c r="G131" s="2">
        <v>0.04</v>
      </c>
      <c r="H131" s="2">
        <v>80</v>
      </c>
      <c r="I131" s="2">
        <v>1028</v>
      </c>
      <c r="J131" s="2">
        <v>0.95</v>
      </c>
      <c r="K131" s="2">
        <v>0.7</v>
      </c>
      <c r="L131" s="2">
        <v>0.7</v>
      </c>
      <c r="M131" s="2" t="s">
        <v>834</v>
      </c>
      <c r="N131" s="15">
        <f t="shared" si="2"/>
        <v>1.625</v>
      </c>
    </row>
    <row r="132" spans="1:14" x14ac:dyDescent="0.45">
      <c r="A132" s="2" t="s">
        <v>224</v>
      </c>
      <c r="B132" s="2" t="s">
        <v>291</v>
      </c>
      <c r="C132" s="2">
        <v>7</v>
      </c>
      <c r="D132" s="2" t="s">
        <v>1451</v>
      </c>
      <c r="E132" s="2" t="s">
        <v>1452</v>
      </c>
      <c r="F132" s="2">
        <v>2.5000000000000001E-2</v>
      </c>
      <c r="G132" s="2">
        <v>0.21</v>
      </c>
      <c r="H132" s="2">
        <v>900</v>
      </c>
      <c r="I132" s="2">
        <v>1000</v>
      </c>
      <c r="J132" s="2">
        <v>0.9</v>
      </c>
      <c r="K132" s="2">
        <v>0.7</v>
      </c>
      <c r="L132" s="2">
        <v>0.7</v>
      </c>
      <c r="M132" s="2" t="s">
        <v>834</v>
      </c>
      <c r="N132" s="15">
        <f t="shared" si="2"/>
        <v>0.11904761904761905</v>
      </c>
    </row>
    <row r="133" spans="1:14" x14ac:dyDescent="0.45">
      <c r="A133" s="2" t="s">
        <v>224</v>
      </c>
      <c r="B133" s="2" t="s">
        <v>291</v>
      </c>
      <c r="C133" s="2">
        <v>8</v>
      </c>
      <c r="D133" s="2" t="s">
        <v>1445</v>
      </c>
      <c r="E133" s="2" t="s">
        <v>1446</v>
      </c>
      <c r="F133" s="2">
        <v>0.01</v>
      </c>
      <c r="G133" s="2">
        <v>0.35</v>
      </c>
      <c r="H133" s="2">
        <v>1200</v>
      </c>
      <c r="I133" s="2">
        <v>999</v>
      </c>
      <c r="J133" s="2">
        <v>0.9</v>
      </c>
      <c r="K133" s="2">
        <v>0.7</v>
      </c>
      <c r="L133" s="2">
        <v>0.7</v>
      </c>
      <c r="M133" s="2" t="s">
        <v>834</v>
      </c>
      <c r="N133" s="15">
        <f t="shared" si="2"/>
        <v>2.8571428571428574E-2</v>
      </c>
    </row>
    <row r="134" spans="1:14" x14ac:dyDescent="0.45">
      <c r="A134" s="2" t="s">
        <v>224</v>
      </c>
      <c r="B134" s="2" t="s">
        <v>294</v>
      </c>
      <c r="C134" s="2">
        <v>1</v>
      </c>
      <c r="D134" s="2" t="s">
        <v>1433</v>
      </c>
      <c r="E134" s="2" t="s">
        <v>1434</v>
      </c>
      <c r="F134" s="2">
        <v>5.0000000000000001E-3</v>
      </c>
      <c r="G134" s="2">
        <v>220</v>
      </c>
      <c r="H134" s="2">
        <v>2700</v>
      </c>
      <c r="I134" s="2">
        <v>896</v>
      </c>
      <c r="J134" s="2">
        <v>0.2</v>
      </c>
      <c r="K134" s="2">
        <v>0.7</v>
      </c>
      <c r="L134" s="2">
        <v>0.7</v>
      </c>
      <c r="M134" s="2" t="s">
        <v>834</v>
      </c>
      <c r="N134" s="15">
        <f t="shared" si="2"/>
        <v>2.2727272727272729E-5</v>
      </c>
    </row>
    <row r="135" spans="1:14" x14ac:dyDescent="0.45">
      <c r="A135" s="2" t="s">
        <v>224</v>
      </c>
      <c r="B135" s="2" t="s">
        <v>294</v>
      </c>
      <c r="C135" s="2">
        <v>2</v>
      </c>
      <c r="D135" s="2" t="s">
        <v>1435</v>
      </c>
      <c r="E135" s="2" t="s">
        <v>1436</v>
      </c>
      <c r="F135" s="2">
        <v>3.5000000000000003E-2</v>
      </c>
      <c r="G135" s="2">
        <v>0.28499999999999998</v>
      </c>
      <c r="H135" s="2">
        <v>1</v>
      </c>
      <c r="I135" s="2">
        <v>1004</v>
      </c>
      <c r="J135" s="2">
        <v>0.7</v>
      </c>
      <c r="K135" s="2">
        <v>0.7</v>
      </c>
      <c r="L135" s="2">
        <v>0.7</v>
      </c>
      <c r="M135" s="2" t="s">
        <v>834</v>
      </c>
      <c r="N135" s="15">
        <f t="shared" si="2"/>
        <v>0.12280701754385967</v>
      </c>
    </row>
    <row r="136" spans="1:14" x14ac:dyDescent="0.45">
      <c r="A136" s="2" t="s">
        <v>224</v>
      </c>
      <c r="B136" s="2" t="s">
        <v>294</v>
      </c>
      <c r="C136" s="2">
        <v>3</v>
      </c>
      <c r="D136" s="2" t="s">
        <v>1437</v>
      </c>
      <c r="E136" s="2" t="s">
        <v>1438</v>
      </c>
      <c r="F136" s="2">
        <v>0.1</v>
      </c>
      <c r="G136" s="2">
        <v>0.04</v>
      </c>
      <c r="H136" s="2">
        <v>30</v>
      </c>
      <c r="I136" s="2">
        <v>1452</v>
      </c>
      <c r="J136" s="2">
        <v>0.95</v>
      </c>
      <c r="K136" s="2">
        <v>0.7</v>
      </c>
      <c r="L136" s="2">
        <v>0.7</v>
      </c>
      <c r="M136" s="2" t="s">
        <v>834</v>
      </c>
      <c r="N136" s="15">
        <f t="shared" si="2"/>
        <v>2.5</v>
      </c>
    </row>
    <row r="137" spans="1:14" x14ac:dyDescent="0.45">
      <c r="A137" s="2" t="s">
        <v>224</v>
      </c>
      <c r="B137" s="2" t="s">
        <v>294</v>
      </c>
      <c r="C137" s="2">
        <v>4</v>
      </c>
      <c r="D137" s="2" t="s">
        <v>1439</v>
      </c>
      <c r="E137" s="2" t="s">
        <v>1440</v>
      </c>
      <c r="F137" s="2">
        <v>5.0000000000000001E-3</v>
      </c>
      <c r="G137" s="2">
        <v>0.23</v>
      </c>
      <c r="H137" s="2">
        <v>1100</v>
      </c>
      <c r="I137" s="2">
        <v>1000</v>
      </c>
      <c r="J137" s="2">
        <v>0.95</v>
      </c>
      <c r="K137" s="2">
        <v>0.7</v>
      </c>
      <c r="L137" s="2">
        <v>0.7</v>
      </c>
      <c r="M137" s="2" t="s">
        <v>834</v>
      </c>
      <c r="N137" s="15">
        <f t="shared" si="2"/>
        <v>2.1739130434782608E-2</v>
      </c>
    </row>
    <row r="138" spans="1:14" x14ac:dyDescent="0.45">
      <c r="A138" s="2" t="s">
        <v>224</v>
      </c>
      <c r="B138" s="2" t="s">
        <v>294</v>
      </c>
      <c r="C138" s="2">
        <v>5</v>
      </c>
      <c r="D138" s="2" t="s">
        <v>1441</v>
      </c>
      <c r="E138" s="2" t="s">
        <v>1442</v>
      </c>
      <c r="F138" s="2">
        <v>0.26500000000000001</v>
      </c>
      <c r="G138" s="2">
        <v>1</v>
      </c>
      <c r="H138" s="2">
        <v>1</v>
      </c>
      <c r="I138" s="2">
        <v>1004</v>
      </c>
      <c r="J138" s="2">
        <v>0.7</v>
      </c>
      <c r="K138" s="2">
        <v>0.7</v>
      </c>
      <c r="L138" s="2">
        <v>0.7</v>
      </c>
      <c r="M138" s="2" t="s">
        <v>834</v>
      </c>
      <c r="N138" s="15">
        <f t="shared" si="2"/>
        <v>0.26500000000000001</v>
      </c>
    </row>
    <row r="139" spans="1:14" x14ac:dyDescent="0.45">
      <c r="A139" s="2" t="s">
        <v>224</v>
      </c>
      <c r="B139" s="2" t="s">
        <v>294</v>
      </c>
      <c r="C139" s="2">
        <v>6</v>
      </c>
      <c r="D139" s="2" t="s">
        <v>1443</v>
      </c>
      <c r="E139" s="2" t="s">
        <v>1444</v>
      </c>
      <c r="F139" s="2">
        <v>0.42499999999999999</v>
      </c>
      <c r="G139" s="2">
        <v>1.046</v>
      </c>
      <c r="H139" s="2">
        <v>2300</v>
      </c>
      <c r="I139" s="2">
        <v>657</v>
      </c>
      <c r="J139" s="2">
        <v>0.95</v>
      </c>
      <c r="K139" s="2">
        <v>0.7</v>
      </c>
      <c r="L139" s="2">
        <v>0.7</v>
      </c>
      <c r="M139" s="2" t="s">
        <v>834</v>
      </c>
      <c r="N139" s="15">
        <f t="shared" si="2"/>
        <v>0.40630975143403442</v>
      </c>
    </row>
    <row r="140" spans="1:14" x14ac:dyDescent="0.45">
      <c r="A140" s="2" t="s">
        <v>224</v>
      </c>
      <c r="B140" s="2" t="s">
        <v>294</v>
      </c>
      <c r="C140" s="2">
        <v>7</v>
      </c>
      <c r="D140" s="2" t="s">
        <v>1449</v>
      </c>
      <c r="E140" s="2" t="s">
        <v>1450</v>
      </c>
      <c r="F140" s="2">
        <v>6.5000000000000002E-2</v>
      </c>
      <c r="G140" s="2">
        <v>0.04</v>
      </c>
      <c r="H140" s="2">
        <v>80</v>
      </c>
      <c r="I140" s="2">
        <v>1028</v>
      </c>
      <c r="J140" s="2">
        <v>0.95</v>
      </c>
      <c r="K140" s="2">
        <v>0.7</v>
      </c>
      <c r="L140" s="2">
        <v>0.7</v>
      </c>
      <c r="M140" s="2" t="s">
        <v>834</v>
      </c>
      <c r="N140" s="15">
        <f t="shared" si="2"/>
        <v>1.625</v>
      </c>
    </row>
    <row r="141" spans="1:14" x14ac:dyDescent="0.45">
      <c r="A141" s="2" t="s">
        <v>224</v>
      </c>
      <c r="B141" s="2" t="s">
        <v>294</v>
      </c>
      <c r="C141" s="2">
        <v>8</v>
      </c>
      <c r="D141" s="2" t="s">
        <v>1451</v>
      </c>
      <c r="E141" s="2" t="s">
        <v>1452</v>
      </c>
      <c r="F141" s="2">
        <v>2.5000000000000001E-2</v>
      </c>
      <c r="G141" s="2">
        <v>0.21</v>
      </c>
      <c r="H141" s="2">
        <v>900</v>
      </c>
      <c r="I141" s="2">
        <v>1000</v>
      </c>
      <c r="J141" s="2">
        <v>0.9</v>
      </c>
      <c r="K141" s="2">
        <v>0.7</v>
      </c>
      <c r="L141" s="2">
        <v>0.7</v>
      </c>
      <c r="M141" s="2" t="s">
        <v>834</v>
      </c>
      <c r="N141" s="15">
        <f t="shared" si="2"/>
        <v>0.11904761904761905</v>
      </c>
    </row>
    <row r="142" spans="1:14" x14ac:dyDescent="0.45">
      <c r="A142" s="2" t="s">
        <v>224</v>
      </c>
      <c r="B142" s="2" t="s">
        <v>294</v>
      </c>
      <c r="C142" s="2">
        <v>9</v>
      </c>
      <c r="D142" s="2" t="s">
        <v>1445</v>
      </c>
      <c r="E142" s="2" t="s">
        <v>1446</v>
      </c>
      <c r="F142" s="2">
        <v>0.01</v>
      </c>
      <c r="G142" s="2">
        <v>0.35</v>
      </c>
      <c r="H142" s="2">
        <v>1200</v>
      </c>
      <c r="I142" s="2">
        <v>999</v>
      </c>
      <c r="J142" s="2">
        <v>0.9</v>
      </c>
      <c r="K142" s="2">
        <v>0.7</v>
      </c>
      <c r="L142" s="2">
        <v>0.7</v>
      </c>
      <c r="M142" s="2" t="s">
        <v>834</v>
      </c>
      <c r="N142" s="15">
        <f t="shared" si="2"/>
        <v>2.8571428571428574E-2</v>
      </c>
    </row>
    <row r="143" spans="1:14" x14ac:dyDescent="0.45">
      <c r="A143" s="2" t="s">
        <v>224</v>
      </c>
      <c r="B143" s="2" t="s">
        <v>300</v>
      </c>
      <c r="C143" s="2">
        <v>1</v>
      </c>
      <c r="D143" s="2" t="s">
        <v>1455</v>
      </c>
      <c r="E143" s="2" t="s">
        <v>1446</v>
      </c>
      <c r="F143" s="2">
        <v>1.4999999999999999E-2</v>
      </c>
      <c r="G143" s="2">
        <v>0.35</v>
      </c>
      <c r="H143" s="2">
        <v>1200</v>
      </c>
      <c r="I143" s="2">
        <v>999</v>
      </c>
      <c r="J143" s="2">
        <v>0.9</v>
      </c>
      <c r="K143" s="2">
        <v>0.7</v>
      </c>
      <c r="L143" s="2">
        <v>0.7</v>
      </c>
      <c r="M143" s="2" t="s">
        <v>834</v>
      </c>
      <c r="N143" s="15">
        <f t="shared" si="2"/>
        <v>4.2857142857142858E-2</v>
      </c>
    </row>
    <row r="144" spans="1:14" x14ac:dyDescent="0.45">
      <c r="A144" s="2" t="s">
        <v>224</v>
      </c>
      <c r="B144" s="2" t="s">
        <v>300</v>
      </c>
      <c r="C144" s="2">
        <v>2</v>
      </c>
      <c r="D144" s="2" t="s">
        <v>1456</v>
      </c>
      <c r="E144" s="2" t="s">
        <v>1457</v>
      </c>
      <c r="F144" s="2">
        <v>0.26</v>
      </c>
      <c r="G144" s="2">
        <v>1.046</v>
      </c>
      <c r="H144" s="2">
        <v>2300</v>
      </c>
      <c r="I144" s="2">
        <v>657</v>
      </c>
      <c r="J144" s="2">
        <v>0.95</v>
      </c>
      <c r="K144" s="2">
        <v>0.7</v>
      </c>
      <c r="L144" s="2">
        <v>0.7</v>
      </c>
      <c r="M144" s="2" t="s">
        <v>834</v>
      </c>
      <c r="N144" s="15">
        <f t="shared" si="2"/>
        <v>0.24856596558317398</v>
      </c>
    </row>
    <row r="145" spans="1:14" x14ac:dyDescent="0.45">
      <c r="A145" s="2" t="s">
        <v>224</v>
      </c>
      <c r="B145" s="2" t="s">
        <v>300</v>
      </c>
      <c r="C145" s="2">
        <v>3</v>
      </c>
      <c r="D145" s="2" t="s">
        <v>1455</v>
      </c>
      <c r="E145" s="2" t="s">
        <v>1446</v>
      </c>
      <c r="F145" s="2">
        <v>1.4999999999999999E-2</v>
      </c>
      <c r="G145" s="2">
        <v>0.35</v>
      </c>
      <c r="H145" s="2">
        <v>1200</v>
      </c>
      <c r="I145" s="2">
        <v>999</v>
      </c>
      <c r="J145" s="2">
        <v>0.9</v>
      </c>
      <c r="K145" s="2">
        <v>0.7</v>
      </c>
      <c r="L145" s="2">
        <v>0.7</v>
      </c>
      <c r="M145" s="2" t="s">
        <v>834</v>
      </c>
      <c r="N145" s="15">
        <f t="shared" si="2"/>
        <v>4.2857142857142858E-2</v>
      </c>
    </row>
    <row r="146" spans="1:14" x14ac:dyDescent="0.45">
      <c r="A146" s="2" t="s">
        <v>224</v>
      </c>
      <c r="B146" s="2" t="s">
        <v>296</v>
      </c>
      <c r="C146" s="2">
        <v>1</v>
      </c>
      <c r="D146" s="2" t="s">
        <v>1433</v>
      </c>
      <c r="E146" s="2" t="s">
        <v>1434</v>
      </c>
      <c r="F146" s="2">
        <v>5.0000000000000001E-3</v>
      </c>
      <c r="G146" s="2">
        <v>220</v>
      </c>
      <c r="H146" s="2">
        <v>2700</v>
      </c>
      <c r="I146" s="2">
        <v>896</v>
      </c>
      <c r="J146" s="2">
        <v>0.2</v>
      </c>
      <c r="K146" s="2">
        <v>0.7</v>
      </c>
      <c r="L146" s="2">
        <v>0.7</v>
      </c>
      <c r="M146" s="2" t="s">
        <v>834</v>
      </c>
      <c r="N146" s="15">
        <f t="shared" si="2"/>
        <v>2.2727272727272729E-5</v>
      </c>
    </row>
    <row r="147" spans="1:14" x14ac:dyDescent="0.45">
      <c r="A147" s="2" t="s">
        <v>224</v>
      </c>
      <c r="B147" s="2" t="s">
        <v>296</v>
      </c>
      <c r="C147" s="2">
        <v>2</v>
      </c>
      <c r="D147" s="2" t="s">
        <v>1435</v>
      </c>
      <c r="E147" s="2" t="s">
        <v>1436</v>
      </c>
      <c r="F147" s="2">
        <v>3.5000000000000003E-2</v>
      </c>
      <c r="G147" s="2">
        <v>0.28499999999999998</v>
      </c>
      <c r="H147" s="2">
        <v>1</v>
      </c>
      <c r="I147" s="2">
        <v>1004</v>
      </c>
      <c r="J147" s="2">
        <v>0.7</v>
      </c>
      <c r="K147" s="2">
        <v>0.7</v>
      </c>
      <c r="L147" s="2">
        <v>0.7</v>
      </c>
      <c r="M147" s="2" t="s">
        <v>834</v>
      </c>
      <c r="N147" s="15">
        <f t="shared" si="2"/>
        <v>0.12280701754385967</v>
      </c>
    </row>
    <row r="148" spans="1:14" x14ac:dyDescent="0.45">
      <c r="A148" s="2" t="s">
        <v>224</v>
      </c>
      <c r="B148" s="2" t="s">
        <v>296</v>
      </c>
      <c r="C148" s="2">
        <v>3</v>
      </c>
      <c r="D148" s="2" t="s">
        <v>1437</v>
      </c>
      <c r="E148" s="2" t="s">
        <v>1438</v>
      </c>
      <c r="F148" s="2">
        <v>0.1</v>
      </c>
      <c r="G148" s="2">
        <v>0.04</v>
      </c>
      <c r="H148" s="2">
        <v>30</v>
      </c>
      <c r="I148" s="2">
        <v>1452</v>
      </c>
      <c r="J148" s="2">
        <v>0.95</v>
      </c>
      <c r="K148" s="2">
        <v>0.7</v>
      </c>
      <c r="L148" s="2">
        <v>0.7</v>
      </c>
      <c r="M148" s="2" t="s">
        <v>834</v>
      </c>
      <c r="N148" s="15">
        <f t="shared" si="2"/>
        <v>2.5</v>
      </c>
    </row>
    <row r="149" spans="1:14" x14ac:dyDescent="0.45">
      <c r="A149" s="2" t="s">
        <v>224</v>
      </c>
      <c r="B149" s="2" t="s">
        <v>296</v>
      </c>
      <c r="C149" s="2">
        <v>4</v>
      </c>
      <c r="D149" s="2" t="s">
        <v>1439</v>
      </c>
      <c r="E149" s="2" t="s">
        <v>1440</v>
      </c>
      <c r="F149" s="2">
        <v>5.0000000000000001E-3</v>
      </c>
      <c r="G149" s="2">
        <v>0.23</v>
      </c>
      <c r="H149" s="2">
        <v>1100</v>
      </c>
      <c r="I149" s="2">
        <v>1000</v>
      </c>
      <c r="J149" s="2">
        <v>0.95</v>
      </c>
      <c r="K149" s="2">
        <v>0.7</v>
      </c>
      <c r="L149" s="2">
        <v>0.7</v>
      </c>
      <c r="M149" s="2" t="s">
        <v>834</v>
      </c>
      <c r="N149" s="15">
        <f t="shared" si="2"/>
        <v>2.1739130434782608E-2</v>
      </c>
    </row>
    <row r="150" spans="1:14" x14ac:dyDescent="0.45">
      <c r="A150" s="2" t="s">
        <v>224</v>
      </c>
      <c r="B150" s="2" t="s">
        <v>296</v>
      </c>
      <c r="C150" s="2">
        <v>5</v>
      </c>
      <c r="D150" s="2" t="s">
        <v>1441</v>
      </c>
      <c r="E150" s="2" t="s">
        <v>1442</v>
      </c>
      <c r="F150" s="2">
        <v>0.26500000000000001</v>
      </c>
      <c r="G150" s="2">
        <v>1</v>
      </c>
      <c r="H150" s="2">
        <v>1</v>
      </c>
      <c r="I150" s="2">
        <v>1004</v>
      </c>
      <c r="J150" s="2">
        <v>0.7</v>
      </c>
      <c r="K150" s="2">
        <v>0.7</v>
      </c>
      <c r="L150" s="2">
        <v>0.7</v>
      </c>
      <c r="M150" s="2" t="s">
        <v>834</v>
      </c>
      <c r="N150" s="15">
        <f t="shared" si="2"/>
        <v>0.26500000000000001</v>
      </c>
    </row>
    <row r="151" spans="1:14" x14ac:dyDescent="0.45">
      <c r="A151" s="2" t="s">
        <v>224</v>
      </c>
      <c r="B151" s="2" t="s">
        <v>296</v>
      </c>
      <c r="C151" s="2">
        <v>6</v>
      </c>
      <c r="D151" s="2" t="s">
        <v>1443</v>
      </c>
      <c r="E151" s="2" t="s">
        <v>1444</v>
      </c>
      <c r="F151" s="2">
        <v>0.42499999999999999</v>
      </c>
      <c r="G151" s="2">
        <v>1.046</v>
      </c>
      <c r="H151" s="2">
        <v>2300</v>
      </c>
      <c r="I151" s="2">
        <v>657</v>
      </c>
      <c r="J151" s="2">
        <v>0.95</v>
      </c>
      <c r="K151" s="2">
        <v>0.7</v>
      </c>
      <c r="L151" s="2">
        <v>0.7</v>
      </c>
      <c r="M151" s="2" t="s">
        <v>834</v>
      </c>
      <c r="N151" s="15">
        <f t="shared" si="2"/>
        <v>0.40630975143403442</v>
      </c>
    </row>
    <row r="152" spans="1:14" x14ac:dyDescent="0.45">
      <c r="A152" s="2" t="s">
        <v>224</v>
      </c>
      <c r="B152" s="2" t="s">
        <v>296</v>
      </c>
      <c r="C152" s="2">
        <v>7</v>
      </c>
      <c r="D152" s="2" t="s">
        <v>1445</v>
      </c>
      <c r="E152" s="2" t="s">
        <v>1446</v>
      </c>
      <c r="F152" s="2">
        <v>0.01</v>
      </c>
      <c r="G152" s="2">
        <v>0.35</v>
      </c>
      <c r="H152" s="2">
        <v>1200</v>
      </c>
      <c r="I152" s="2">
        <v>999</v>
      </c>
      <c r="J152" s="2">
        <v>0.9</v>
      </c>
      <c r="K152" s="2">
        <v>0.7</v>
      </c>
      <c r="L152" s="2">
        <v>0.7</v>
      </c>
      <c r="M152" s="2" t="s">
        <v>834</v>
      </c>
      <c r="N152" s="15">
        <f t="shared" si="2"/>
        <v>2.8571428571428574E-2</v>
      </c>
    </row>
    <row r="153" spans="1:14" x14ac:dyDescent="0.45">
      <c r="A153" s="2" t="s">
        <v>224</v>
      </c>
      <c r="B153" s="2" t="s">
        <v>298</v>
      </c>
      <c r="C153" s="2">
        <v>1</v>
      </c>
      <c r="D153" s="2" t="s">
        <v>1433</v>
      </c>
      <c r="E153" s="2" t="s">
        <v>1434</v>
      </c>
      <c r="F153" s="2">
        <v>5.0000000000000001E-3</v>
      </c>
      <c r="G153" s="2">
        <v>220</v>
      </c>
      <c r="H153" s="2">
        <v>2700</v>
      </c>
      <c r="I153" s="2">
        <v>896</v>
      </c>
      <c r="J153" s="2">
        <v>0.2</v>
      </c>
      <c r="K153" s="2">
        <v>0.7</v>
      </c>
      <c r="L153" s="2">
        <v>0.7</v>
      </c>
      <c r="M153" s="2" t="s">
        <v>834</v>
      </c>
      <c r="N153" s="15">
        <f t="shared" si="2"/>
        <v>2.2727272727272729E-5</v>
      </c>
    </row>
    <row r="154" spans="1:14" x14ac:dyDescent="0.45">
      <c r="A154" s="2" t="s">
        <v>224</v>
      </c>
      <c r="B154" s="2" t="s">
        <v>298</v>
      </c>
      <c r="C154" s="2">
        <v>2</v>
      </c>
      <c r="D154" s="2" t="s">
        <v>1435</v>
      </c>
      <c r="E154" s="2" t="s">
        <v>1436</v>
      </c>
      <c r="F154" s="2">
        <v>3.5000000000000003E-2</v>
      </c>
      <c r="G154" s="2">
        <v>0.28499999999999998</v>
      </c>
      <c r="H154" s="2">
        <v>1</v>
      </c>
      <c r="I154" s="2">
        <v>1004</v>
      </c>
      <c r="J154" s="2">
        <v>0.7</v>
      </c>
      <c r="K154" s="2">
        <v>0.7</v>
      </c>
      <c r="L154" s="2">
        <v>0.7</v>
      </c>
      <c r="M154" s="2" t="s">
        <v>834</v>
      </c>
      <c r="N154" s="15">
        <f t="shared" si="2"/>
        <v>0.12280701754385967</v>
      </c>
    </row>
    <row r="155" spans="1:14" x14ac:dyDescent="0.45">
      <c r="A155" s="2" t="s">
        <v>224</v>
      </c>
      <c r="B155" s="2" t="s">
        <v>298</v>
      </c>
      <c r="C155" s="2">
        <v>3</v>
      </c>
      <c r="D155" s="2" t="s">
        <v>1437</v>
      </c>
      <c r="E155" s="2" t="s">
        <v>1438</v>
      </c>
      <c r="F155" s="2">
        <v>0.1</v>
      </c>
      <c r="G155" s="2">
        <v>0.04</v>
      </c>
      <c r="H155" s="2">
        <v>30</v>
      </c>
      <c r="I155" s="2">
        <v>1452</v>
      </c>
      <c r="J155" s="2">
        <v>0.95</v>
      </c>
      <c r="K155" s="2">
        <v>0.7</v>
      </c>
      <c r="L155" s="2">
        <v>0.7</v>
      </c>
      <c r="M155" s="2" t="s">
        <v>834</v>
      </c>
      <c r="N155" s="15">
        <f t="shared" si="2"/>
        <v>2.5</v>
      </c>
    </row>
    <row r="156" spans="1:14" x14ac:dyDescent="0.45">
      <c r="A156" s="2" t="s">
        <v>224</v>
      </c>
      <c r="B156" s="2" t="s">
        <v>298</v>
      </c>
      <c r="C156" s="2">
        <v>4</v>
      </c>
      <c r="D156" s="2" t="s">
        <v>1439</v>
      </c>
      <c r="E156" s="2" t="s">
        <v>1440</v>
      </c>
      <c r="F156" s="2">
        <v>5.0000000000000001E-3</v>
      </c>
      <c r="G156" s="2">
        <v>0.23</v>
      </c>
      <c r="H156" s="2">
        <v>1100</v>
      </c>
      <c r="I156" s="2">
        <v>1000</v>
      </c>
      <c r="J156" s="2">
        <v>0.95</v>
      </c>
      <c r="K156" s="2">
        <v>0.7</v>
      </c>
      <c r="L156" s="2">
        <v>0.7</v>
      </c>
      <c r="M156" s="2" t="s">
        <v>834</v>
      </c>
      <c r="N156" s="15">
        <f t="shared" si="2"/>
        <v>2.1739130434782608E-2</v>
      </c>
    </row>
    <row r="157" spans="1:14" x14ac:dyDescent="0.45">
      <c r="A157" s="2" t="s">
        <v>224</v>
      </c>
      <c r="B157" s="2" t="s">
        <v>298</v>
      </c>
      <c r="C157" s="2">
        <v>5</v>
      </c>
      <c r="D157" s="2" t="s">
        <v>1441</v>
      </c>
      <c r="E157" s="2" t="s">
        <v>1442</v>
      </c>
      <c r="F157" s="2">
        <v>0.26500000000000001</v>
      </c>
      <c r="G157" s="2">
        <v>1</v>
      </c>
      <c r="H157" s="2">
        <v>1</v>
      </c>
      <c r="I157" s="2">
        <v>1004</v>
      </c>
      <c r="J157" s="2">
        <v>0.7</v>
      </c>
      <c r="K157" s="2">
        <v>0.7</v>
      </c>
      <c r="L157" s="2">
        <v>0.7</v>
      </c>
      <c r="M157" s="2" t="s">
        <v>834</v>
      </c>
      <c r="N157" s="15">
        <f t="shared" si="2"/>
        <v>0.26500000000000001</v>
      </c>
    </row>
    <row r="158" spans="1:14" x14ac:dyDescent="0.45">
      <c r="A158" s="2" t="s">
        <v>224</v>
      </c>
      <c r="B158" s="2" t="s">
        <v>298</v>
      </c>
      <c r="C158" s="2">
        <v>6</v>
      </c>
      <c r="D158" s="2" t="s">
        <v>1453</v>
      </c>
      <c r="E158" s="2" t="s">
        <v>1436</v>
      </c>
      <c r="F158" s="2">
        <v>0.42499999999999999</v>
      </c>
      <c r="G158" s="2">
        <v>0.28499999999999998</v>
      </c>
      <c r="H158" s="2">
        <v>1</v>
      </c>
      <c r="I158" s="2">
        <v>1004</v>
      </c>
      <c r="J158" s="2">
        <v>0.7</v>
      </c>
      <c r="K158" s="2">
        <v>0.7</v>
      </c>
      <c r="L158" s="2">
        <v>0.7</v>
      </c>
      <c r="M158" s="2" t="s">
        <v>834</v>
      </c>
      <c r="N158" s="15">
        <f t="shared" si="2"/>
        <v>1.4912280701754388</v>
      </c>
    </row>
    <row r="159" spans="1:14" x14ac:dyDescent="0.45">
      <c r="A159" s="2" t="s">
        <v>224</v>
      </c>
      <c r="B159" s="2" t="s">
        <v>298</v>
      </c>
      <c r="C159" s="2">
        <v>7</v>
      </c>
      <c r="D159" s="2" t="s">
        <v>1449</v>
      </c>
      <c r="E159" s="2" t="s">
        <v>1450</v>
      </c>
      <c r="F159" s="2">
        <v>6.5000000000000002E-2</v>
      </c>
      <c r="G159" s="2">
        <v>0.04</v>
      </c>
      <c r="H159" s="2">
        <v>80</v>
      </c>
      <c r="I159" s="2">
        <v>1028</v>
      </c>
      <c r="J159" s="2">
        <v>0.95</v>
      </c>
      <c r="K159" s="2">
        <v>0.7</v>
      </c>
      <c r="L159" s="2">
        <v>0.7</v>
      </c>
      <c r="M159" s="2" t="s">
        <v>834</v>
      </c>
      <c r="N159" s="15">
        <f t="shared" si="2"/>
        <v>1.625</v>
      </c>
    </row>
    <row r="160" spans="1:14" x14ac:dyDescent="0.45">
      <c r="A160" s="2" t="s">
        <v>224</v>
      </c>
      <c r="B160" s="2" t="s">
        <v>298</v>
      </c>
      <c r="C160" s="2">
        <v>8</v>
      </c>
      <c r="D160" s="2" t="s">
        <v>1451</v>
      </c>
      <c r="E160" s="2" t="s">
        <v>1452</v>
      </c>
      <c r="F160" s="2">
        <v>2.5000000000000001E-2</v>
      </c>
      <c r="G160" s="2">
        <v>0.21</v>
      </c>
      <c r="H160" s="2">
        <v>900</v>
      </c>
      <c r="I160" s="2">
        <v>1000</v>
      </c>
      <c r="J160" s="2">
        <v>0.9</v>
      </c>
      <c r="K160" s="2">
        <v>0.7</v>
      </c>
      <c r="L160" s="2">
        <v>0.7</v>
      </c>
      <c r="M160" s="2" t="s">
        <v>834</v>
      </c>
      <c r="N160" s="15">
        <f t="shared" si="2"/>
        <v>0.11904761904761905</v>
      </c>
    </row>
    <row r="161" spans="1:14" x14ac:dyDescent="0.45">
      <c r="A161" s="2" t="s">
        <v>224</v>
      </c>
      <c r="B161" s="2" t="s">
        <v>298</v>
      </c>
      <c r="C161" s="2">
        <v>9</v>
      </c>
      <c r="D161" s="2" t="s">
        <v>1445</v>
      </c>
      <c r="E161" s="2" t="s">
        <v>1446</v>
      </c>
      <c r="F161" s="2">
        <v>0.01</v>
      </c>
      <c r="G161" s="2">
        <v>0.35</v>
      </c>
      <c r="H161" s="2">
        <v>1200</v>
      </c>
      <c r="I161" s="2">
        <v>999</v>
      </c>
      <c r="J161" s="2">
        <v>0.9</v>
      </c>
      <c r="K161" s="2">
        <v>0.7</v>
      </c>
      <c r="L161" s="2">
        <v>0.7</v>
      </c>
      <c r="M161" s="2" t="s">
        <v>834</v>
      </c>
      <c r="N161" s="15">
        <f t="shared" si="2"/>
        <v>2.8571428571428574E-2</v>
      </c>
    </row>
    <row r="162" spans="1:14" x14ac:dyDescent="0.45">
      <c r="A162" s="2" t="s">
        <v>224</v>
      </c>
      <c r="B162" s="2" t="s">
        <v>322</v>
      </c>
      <c r="C162" s="2">
        <v>1</v>
      </c>
      <c r="D162" s="2" t="s">
        <v>1445</v>
      </c>
      <c r="E162" s="2" t="s">
        <v>1446</v>
      </c>
      <c r="F162" s="2">
        <v>0.01</v>
      </c>
      <c r="G162" s="2">
        <v>0.35</v>
      </c>
      <c r="H162" s="2">
        <v>1200</v>
      </c>
      <c r="I162" s="2">
        <v>999</v>
      </c>
      <c r="J162" s="2">
        <v>0.9</v>
      </c>
      <c r="K162" s="2">
        <v>0.7</v>
      </c>
      <c r="L162" s="2">
        <v>0.7</v>
      </c>
      <c r="M162" s="2" t="s">
        <v>834</v>
      </c>
      <c r="N162" s="15">
        <f t="shared" si="2"/>
        <v>2.8571428571428574E-2</v>
      </c>
    </row>
    <row r="163" spans="1:14" x14ac:dyDescent="0.45">
      <c r="A163" s="2" t="s">
        <v>224</v>
      </c>
      <c r="B163" s="2" t="s">
        <v>322</v>
      </c>
      <c r="C163" s="2">
        <v>2</v>
      </c>
      <c r="D163" s="2" t="s">
        <v>1451</v>
      </c>
      <c r="E163" s="2" t="s">
        <v>1452</v>
      </c>
      <c r="F163" s="2">
        <v>2.5000000000000001E-2</v>
      </c>
      <c r="G163" s="2">
        <v>0.21</v>
      </c>
      <c r="H163" s="2">
        <v>900</v>
      </c>
      <c r="I163" s="2">
        <v>1000</v>
      </c>
      <c r="J163" s="2">
        <v>0.9</v>
      </c>
      <c r="K163" s="2">
        <v>0.7</v>
      </c>
      <c r="L163" s="2">
        <v>0.7</v>
      </c>
      <c r="M163" s="2" t="s">
        <v>834</v>
      </c>
      <c r="N163" s="15">
        <f t="shared" si="2"/>
        <v>0.11904761904761905</v>
      </c>
    </row>
    <row r="164" spans="1:14" x14ac:dyDescent="0.45">
      <c r="A164" s="2" t="s">
        <v>224</v>
      </c>
      <c r="B164" s="2" t="s">
        <v>322</v>
      </c>
      <c r="C164" s="2">
        <v>3</v>
      </c>
      <c r="D164" s="2" t="s">
        <v>1460</v>
      </c>
      <c r="E164" s="2" t="s">
        <v>1450</v>
      </c>
      <c r="F164" s="2">
        <v>0.04</v>
      </c>
      <c r="G164" s="2">
        <v>0.04</v>
      </c>
      <c r="H164" s="2">
        <v>80</v>
      </c>
      <c r="I164" s="2">
        <v>1028</v>
      </c>
      <c r="J164" s="2">
        <v>0.95</v>
      </c>
      <c r="K164" s="2">
        <v>0.7</v>
      </c>
      <c r="L164" s="2">
        <v>0.7</v>
      </c>
      <c r="M164" s="2" t="s">
        <v>834</v>
      </c>
      <c r="N164" s="15">
        <f t="shared" si="2"/>
        <v>1</v>
      </c>
    </row>
    <row r="165" spans="1:14" x14ac:dyDescent="0.45">
      <c r="A165" s="2" t="s">
        <v>224</v>
      </c>
      <c r="B165" s="2" t="s">
        <v>322</v>
      </c>
      <c r="C165" s="2">
        <v>4</v>
      </c>
      <c r="D165" s="2" t="s">
        <v>1461</v>
      </c>
      <c r="E165" s="2" t="s">
        <v>1462</v>
      </c>
      <c r="F165" s="2">
        <v>6.5000000000000002E-2</v>
      </c>
      <c r="G165" s="2">
        <v>1</v>
      </c>
      <c r="H165" s="2">
        <v>1</v>
      </c>
      <c r="I165" s="2">
        <v>1003</v>
      </c>
      <c r="J165" s="2">
        <v>0.7</v>
      </c>
      <c r="K165" s="2">
        <v>0.7</v>
      </c>
      <c r="L165" s="2">
        <v>0.7</v>
      </c>
      <c r="M165" s="2" t="s">
        <v>834</v>
      </c>
      <c r="N165" s="15">
        <f t="shared" si="2"/>
        <v>6.5000000000000002E-2</v>
      </c>
    </row>
    <row r="166" spans="1:14" x14ac:dyDescent="0.45">
      <c r="A166" s="2" t="s">
        <v>224</v>
      </c>
      <c r="B166" s="2" t="s">
        <v>322</v>
      </c>
      <c r="C166" s="2">
        <v>5</v>
      </c>
      <c r="D166" s="2" t="s">
        <v>1460</v>
      </c>
      <c r="E166" s="2" t="s">
        <v>1450</v>
      </c>
      <c r="F166" s="2">
        <v>0.04</v>
      </c>
      <c r="G166" s="2">
        <v>0.04</v>
      </c>
      <c r="H166" s="2">
        <v>80</v>
      </c>
      <c r="I166" s="2">
        <v>1028</v>
      </c>
      <c r="J166" s="2">
        <v>0.95</v>
      </c>
      <c r="K166" s="2">
        <v>0.7</v>
      </c>
      <c r="L166" s="2">
        <v>0.7</v>
      </c>
      <c r="M166" s="2" t="s">
        <v>834</v>
      </c>
      <c r="N166" s="15">
        <f t="shared" si="2"/>
        <v>1</v>
      </c>
    </row>
    <row r="167" spans="1:14" x14ac:dyDescent="0.45">
      <c r="A167" s="2" t="s">
        <v>224</v>
      </c>
      <c r="B167" s="2" t="s">
        <v>322</v>
      </c>
      <c r="C167" s="2">
        <v>6</v>
      </c>
      <c r="D167" s="2" t="s">
        <v>1451</v>
      </c>
      <c r="E167" s="2" t="s">
        <v>1452</v>
      </c>
      <c r="F167" s="2">
        <v>2.5000000000000001E-2</v>
      </c>
      <c r="G167" s="2">
        <v>0.21</v>
      </c>
      <c r="H167" s="2">
        <v>900</v>
      </c>
      <c r="I167" s="2">
        <v>1000</v>
      </c>
      <c r="J167" s="2">
        <v>0.9</v>
      </c>
      <c r="K167" s="2">
        <v>0.7</v>
      </c>
      <c r="L167" s="2">
        <v>0.7</v>
      </c>
      <c r="M167" s="2" t="s">
        <v>834</v>
      </c>
      <c r="N167" s="15">
        <f t="shared" si="2"/>
        <v>0.11904761904761905</v>
      </c>
    </row>
    <row r="168" spans="1:14" x14ac:dyDescent="0.45">
      <c r="A168" s="2" t="s">
        <v>224</v>
      </c>
      <c r="B168" s="2" t="s">
        <v>322</v>
      </c>
      <c r="C168" s="2">
        <v>7</v>
      </c>
      <c r="D168" s="2" t="s">
        <v>1463</v>
      </c>
      <c r="E168" s="2" t="s">
        <v>1464</v>
      </c>
      <c r="F168" s="2">
        <v>0.01</v>
      </c>
      <c r="G168" s="2">
        <v>0.35</v>
      </c>
      <c r="H168" s="2">
        <v>1200</v>
      </c>
      <c r="I168" s="2">
        <v>999</v>
      </c>
      <c r="J168" s="2">
        <v>0.9</v>
      </c>
      <c r="K168" s="2">
        <v>0.7</v>
      </c>
      <c r="L168" s="2">
        <v>0.7</v>
      </c>
      <c r="M168" s="2" t="s">
        <v>834</v>
      </c>
      <c r="N168" s="15">
        <f t="shared" si="2"/>
        <v>2.8571428571428574E-2</v>
      </c>
    </row>
    <row r="169" spans="1:14" x14ac:dyDescent="0.45">
      <c r="A169" s="2" t="s">
        <v>224</v>
      </c>
      <c r="B169" s="2" t="s">
        <v>324</v>
      </c>
      <c r="C169" s="2">
        <v>1</v>
      </c>
      <c r="D169" s="2" t="s">
        <v>1445</v>
      </c>
      <c r="E169" s="2" t="s">
        <v>1446</v>
      </c>
      <c r="F169" s="2">
        <v>0.01</v>
      </c>
      <c r="G169" s="2">
        <v>0.35</v>
      </c>
      <c r="H169" s="2">
        <v>1200</v>
      </c>
      <c r="I169" s="2">
        <v>999</v>
      </c>
      <c r="J169" s="2">
        <v>0.9</v>
      </c>
      <c r="K169" s="2">
        <v>0.7</v>
      </c>
      <c r="L169" s="2">
        <v>0.7</v>
      </c>
      <c r="M169" s="2" t="s">
        <v>834</v>
      </c>
      <c r="N169" s="15">
        <f t="shared" si="2"/>
        <v>2.8571428571428574E-2</v>
      </c>
    </row>
    <row r="170" spans="1:14" x14ac:dyDescent="0.45">
      <c r="A170" s="2" t="s">
        <v>224</v>
      </c>
      <c r="B170" s="2" t="s">
        <v>324</v>
      </c>
      <c r="C170" s="2">
        <v>2</v>
      </c>
      <c r="D170" s="2" t="s">
        <v>1451</v>
      </c>
      <c r="E170" s="2" t="s">
        <v>1452</v>
      </c>
      <c r="F170" s="2">
        <v>2.5000000000000001E-2</v>
      </c>
      <c r="G170" s="2">
        <v>0.21</v>
      </c>
      <c r="H170" s="2">
        <v>900</v>
      </c>
      <c r="I170" s="2">
        <v>1000</v>
      </c>
      <c r="J170" s="2">
        <v>0.9</v>
      </c>
      <c r="K170" s="2">
        <v>0.7</v>
      </c>
      <c r="L170" s="2">
        <v>0.7</v>
      </c>
      <c r="M170" s="2" t="s">
        <v>834</v>
      </c>
      <c r="N170" s="15">
        <f t="shared" si="2"/>
        <v>0.11904761904761905</v>
      </c>
    </row>
    <row r="171" spans="1:14" x14ac:dyDescent="0.45">
      <c r="A171" s="2" t="s">
        <v>224</v>
      </c>
      <c r="B171" s="2" t="s">
        <v>324</v>
      </c>
      <c r="C171" s="2">
        <v>3</v>
      </c>
      <c r="D171" s="2" t="s">
        <v>1449</v>
      </c>
      <c r="E171" s="2" t="s">
        <v>1450</v>
      </c>
      <c r="F171" s="2">
        <v>6.5000000000000002E-2</v>
      </c>
      <c r="G171" s="2">
        <v>0.04</v>
      </c>
      <c r="H171" s="2">
        <v>80</v>
      </c>
      <c r="I171" s="2">
        <v>1028</v>
      </c>
      <c r="J171" s="2">
        <v>0.95</v>
      </c>
      <c r="K171" s="2">
        <v>0.7</v>
      </c>
      <c r="L171" s="2">
        <v>0.7</v>
      </c>
      <c r="M171" s="2" t="s">
        <v>834</v>
      </c>
      <c r="N171" s="15">
        <f t="shared" si="2"/>
        <v>1.625</v>
      </c>
    </row>
    <row r="172" spans="1:14" x14ac:dyDescent="0.45">
      <c r="A172" s="2" t="s">
        <v>224</v>
      </c>
      <c r="B172" s="2" t="s">
        <v>326</v>
      </c>
      <c r="C172" s="2">
        <v>1</v>
      </c>
      <c r="D172" s="2" t="s">
        <v>1445</v>
      </c>
      <c r="E172" s="2" t="s">
        <v>1446</v>
      </c>
      <c r="F172" s="2">
        <v>0.01</v>
      </c>
      <c r="G172" s="2">
        <v>0.35</v>
      </c>
      <c r="H172" s="2">
        <v>1200</v>
      </c>
      <c r="I172" s="2">
        <v>999</v>
      </c>
      <c r="J172" s="2">
        <v>0.9</v>
      </c>
      <c r="K172" s="2">
        <v>0.7</v>
      </c>
      <c r="L172" s="2">
        <v>0.7</v>
      </c>
      <c r="M172" s="2" t="s">
        <v>834</v>
      </c>
      <c r="N172" s="15">
        <f t="shared" si="2"/>
        <v>2.8571428571428574E-2</v>
      </c>
    </row>
    <row r="173" spans="1:14" x14ac:dyDescent="0.45">
      <c r="A173" s="2" t="s">
        <v>224</v>
      </c>
      <c r="B173" s="2" t="s">
        <v>326</v>
      </c>
      <c r="C173" s="2">
        <v>2</v>
      </c>
      <c r="D173" s="2" t="s">
        <v>1451</v>
      </c>
      <c r="E173" s="2" t="s">
        <v>1452</v>
      </c>
      <c r="F173" s="2">
        <v>2.5000000000000001E-2</v>
      </c>
      <c r="G173" s="2">
        <v>0.21</v>
      </c>
      <c r="H173" s="2">
        <v>900</v>
      </c>
      <c r="I173" s="2">
        <v>1000</v>
      </c>
      <c r="J173" s="2">
        <v>0.9</v>
      </c>
      <c r="K173" s="2">
        <v>0.7</v>
      </c>
      <c r="L173" s="2">
        <v>0.7</v>
      </c>
      <c r="M173" s="2" t="s">
        <v>834</v>
      </c>
      <c r="N173" s="15">
        <f t="shared" si="2"/>
        <v>0.11904761904761905</v>
      </c>
    </row>
    <row r="174" spans="1:14" x14ac:dyDescent="0.45">
      <c r="A174" s="2" t="s">
        <v>224</v>
      </c>
      <c r="B174" s="2" t="s">
        <v>326</v>
      </c>
      <c r="C174" s="2">
        <v>3</v>
      </c>
      <c r="D174" s="2" t="s">
        <v>1460</v>
      </c>
      <c r="E174" s="2" t="s">
        <v>1450</v>
      </c>
      <c r="F174" s="2">
        <v>0.04</v>
      </c>
      <c r="G174" s="2">
        <v>0.04</v>
      </c>
      <c r="H174" s="2">
        <v>80</v>
      </c>
      <c r="I174" s="2">
        <v>1028</v>
      </c>
      <c r="J174" s="2">
        <v>0.95</v>
      </c>
      <c r="K174" s="2">
        <v>0.7</v>
      </c>
      <c r="L174" s="2">
        <v>0.7</v>
      </c>
      <c r="M174" s="2" t="s">
        <v>834</v>
      </c>
      <c r="N174" s="15">
        <f t="shared" si="2"/>
        <v>1</v>
      </c>
    </row>
    <row r="175" spans="1:14" x14ac:dyDescent="0.45">
      <c r="A175" s="2" t="s">
        <v>224</v>
      </c>
      <c r="B175" s="2" t="s">
        <v>326</v>
      </c>
      <c r="C175" s="2">
        <v>4</v>
      </c>
      <c r="D175" s="2" t="s">
        <v>1461</v>
      </c>
      <c r="E175" s="2" t="s">
        <v>1462</v>
      </c>
      <c r="F175" s="2">
        <v>6.5000000000000002E-2</v>
      </c>
      <c r="G175" s="2">
        <v>1</v>
      </c>
      <c r="H175" s="2">
        <v>1</v>
      </c>
      <c r="I175" s="2">
        <v>1003</v>
      </c>
      <c r="J175" s="2">
        <v>0.7</v>
      </c>
      <c r="K175" s="2">
        <v>0.7</v>
      </c>
      <c r="L175" s="2">
        <v>0.7</v>
      </c>
      <c r="M175" s="2" t="s">
        <v>834</v>
      </c>
      <c r="N175" s="15">
        <f t="shared" si="2"/>
        <v>6.5000000000000002E-2</v>
      </c>
    </row>
    <row r="176" spans="1:14" x14ac:dyDescent="0.45">
      <c r="A176" s="2" t="s">
        <v>224</v>
      </c>
      <c r="B176" s="2" t="s">
        <v>326</v>
      </c>
      <c r="C176" s="2">
        <v>5</v>
      </c>
      <c r="D176" s="2" t="s">
        <v>1460</v>
      </c>
      <c r="E176" s="2" t="s">
        <v>1450</v>
      </c>
      <c r="F176" s="2">
        <v>0.04</v>
      </c>
      <c r="G176" s="2">
        <v>0.04</v>
      </c>
      <c r="H176" s="2">
        <v>80</v>
      </c>
      <c r="I176" s="2">
        <v>1028</v>
      </c>
      <c r="J176" s="2">
        <v>0.95</v>
      </c>
      <c r="K176" s="2">
        <v>0.7</v>
      </c>
      <c r="L176" s="2">
        <v>0.7</v>
      </c>
      <c r="M176" s="2" t="s">
        <v>834</v>
      </c>
      <c r="N176" s="15">
        <f t="shared" si="2"/>
        <v>1</v>
      </c>
    </row>
    <row r="177" spans="1:14" x14ac:dyDescent="0.45">
      <c r="A177" s="2" t="s">
        <v>224</v>
      </c>
      <c r="B177" s="2" t="s">
        <v>326</v>
      </c>
      <c r="C177" s="2">
        <v>6</v>
      </c>
      <c r="D177" s="2" t="s">
        <v>1451</v>
      </c>
      <c r="E177" s="2" t="s">
        <v>1452</v>
      </c>
      <c r="F177" s="2">
        <v>2.5000000000000001E-2</v>
      </c>
      <c r="G177" s="2">
        <v>0.21</v>
      </c>
      <c r="H177" s="2">
        <v>900</v>
      </c>
      <c r="I177" s="2">
        <v>1000</v>
      </c>
      <c r="J177" s="2">
        <v>0.9</v>
      </c>
      <c r="K177" s="2">
        <v>0.7</v>
      </c>
      <c r="L177" s="2">
        <v>0.7</v>
      </c>
      <c r="M177" s="2" t="s">
        <v>834</v>
      </c>
      <c r="N177" s="15">
        <f t="shared" si="2"/>
        <v>0.11904761904761905</v>
      </c>
    </row>
    <row r="178" spans="1:14" x14ac:dyDescent="0.45">
      <c r="A178" s="2" t="s">
        <v>224</v>
      </c>
      <c r="B178" s="2" t="s">
        <v>326</v>
      </c>
      <c r="C178" s="2">
        <v>7</v>
      </c>
      <c r="D178" s="2" t="s">
        <v>1463</v>
      </c>
      <c r="E178" s="2" t="s">
        <v>1464</v>
      </c>
      <c r="F178" s="2">
        <v>0.01</v>
      </c>
      <c r="G178" s="2">
        <v>0.35</v>
      </c>
      <c r="H178" s="2">
        <v>1200</v>
      </c>
      <c r="I178" s="2">
        <v>999</v>
      </c>
      <c r="J178" s="2">
        <v>0.9</v>
      </c>
      <c r="K178" s="2">
        <v>0.7</v>
      </c>
      <c r="L178" s="2">
        <v>0.7</v>
      </c>
      <c r="M178" s="2" t="s">
        <v>834</v>
      </c>
      <c r="N178" s="15">
        <f t="shared" si="2"/>
        <v>2.8571428571428574E-2</v>
      </c>
    </row>
    <row r="179" spans="1:14" x14ac:dyDescent="0.45">
      <c r="A179" s="2" t="s">
        <v>224</v>
      </c>
      <c r="B179" s="2" t="s">
        <v>326</v>
      </c>
      <c r="C179" s="2">
        <v>8</v>
      </c>
      <c r="D179" s="2" t="s">
        <v>1465</v>
      </c>
      <c r="E179" s="2" t="s">
        <v>1466</v>
      </c>
      <c r="F179" s="2">
        <v>1.4999999999999999E-2</v>
      </c>
      <c r="G179" s="2">
        <v>1.3</v>
      </c>
      <c r="H179" s="2">
        <v>2300</v>
      </c>
      <c r="I179" s="2">
        <v>839</v>
      </c>
      <c r="J179" s="2">
        <v>0.9</v>
      </c>
      <c r="K179" s="2">
        <v>0.7</v>
      </c>
      <c r="L179" s="2">
        <v>0.7</v>
      </c>
      <c r="M179" s="2" t="s">
        <v>834</v>
      </c>
      <c r="N179" s="15">
        <f t="shared" si="2"/>
        <v>1.1538461538461537E-2</v>
      </c>
    </row>
    <row r="180" spans="1:14" x14ac:dyDescent="0.45">
      <c r="A180" s="2" t="s">
        <v>224</v>
      </c>
      <c r="B180" s="2" t="s">
        <v>330</v>
      </c>
      <c r="C180" s="2">
        <v>1</v>
      </c>
      <c r="D180" s="2" t="s">
        <v>1461</v>
      </c>
      <c r="E180" s="2" t="s">
        <v>1462</v>
      </c>
      <c r="F180" s="2">
        <v>6.5000000000000002E-2</v>
      </c>
      <c r="G180" s="2">
        <v>1</v>
      </c>
      <c r="H180" s="2">
        <v>1</v>
      </c>
      <c r="I180" s="2">
        <v>1003</v>
      </c>
      <c r="J180" s="2">
        <v>0.7</v>
      </c>
      <c r="K180" s="2">
        <v>0.7</v>
      </c>
      <c r="L180" s="2">
        <v>0.7</v>
      </c>
      <c r="M180" s="2" t="s">
        <v>834</v>
      </c>
      <c r="N180" s="15">
        <f t="shared" si="2"/>
        <v>6.5000000000000002E-2</v>
      </c>
    </row>
    <row r="181" spans="1:14" x14ac:dyDescent="0.45">
      <c r="A181" s="2" t="s">
        <v>224</v>
      </c>
      <c r="B181" s="2" t="s">
        <v>330</v>
      </c>
      <c r="C181" s="2">
        <v>2</v>
      </c>
      <c r="D181" s="2" t="s">
        <v>1460</v>
      </c>
      <c r="E181" s="2" t="s">
        <v>1450</v>
      </c>
      <c r="F181" s="2">
        <v>0.04</v>
      </c>
      <c r="G181" s="2">
        <v>0.04</v>
      </c>
      <c r="H181" s="2">
        <v>80</v>
      </c>
      <c r="I181" s="2">
        <v>1028</v>
      </c>
      <c r="J181" s="2">
        <v>0.95</v>
      </c>
      <c r="K181" s="2">
        <v>0.7</v>
      </c>
      <c r="L181" s="2">
        <v>0.7</v>
      </c>
      <c r="M181" s="2" t="s">
        <v>834</v>
      </c>
      <c r="N181" s="15">
        <f t="shared" si="2"/>
        <v>1</v>
      </c>
    </row>
    <row r="182" spans="1:14" x14ac:dyDescent="0.45">
      <c r="A182" s="2" t="s">
        <v>224</v>
      </c>
      <c r="B182" s="2" t="s">
        <v>330</v>
      </c>
      <c r="C182" s="2">
        <v>3</v>
      </c>
      <c r="D182" s="2" t="s">
        <v>1451</v>
      </c>
      <c r="E182" s="2" t="s">
        <v>1452</v>
      </c>
      <c r="F182" s="2">
        <v>2.5000000000000001E-2</v>
      </c>
      <c r="G182" s="2">
        <v>0.21</v>
      </c>
      <c r="H182" s="2">
        <v>900</v>
      </c>
      <c r="I182" s="2">
        <v>1000</v>
      </c>
      <c r="J182" s="2">
        <v>0.9</v>
      </c>
      <c r="K182" s="2">
        <v>0.7</v>
      </c>
      <c r="L182" s="2">
        <v>0.7</v>
      </c>
      <c r="M182" s="2" t="s">
        <v>834</v>
      </c>
      <c r="N182" s="15">
        <f t="shared" si="2"/>
        <v>0.11904761904761905</v>
      </c>
    </row>
    <row r="183" spans="1:14" x14ac:dyDescent="0.45">
      <c r="A183" s="2" t="s">
        <v>224</v>
      </c>
      <c r="B183" s="2" t="s">
        <v>330</v>
      </c>
      <c r="C183" s="2">
        <v>4</v>
      </c>
      <c r="D183" s="2" t="s">
        <v>1463</v>
      </c>
      <c r="E183" s="2" t="s">
        <v>1464</v>
      </c>
      <c r="F183" s="2">
        <v>0.01</v>
      </c>
      <c r="G183" s="2">
        <v>0.35</v>
      </c>
      <c r="H183" s="2">
        <v>1200</v>
      </c>
      <c r="I183" s="2">
        <v>999</v>
      </c>
      <c r="J183" s="2">
        <v>0.9</v>
      </c>
      <c r="K183" s="2">
        <v>0.7</v>
      </c>
      <c r="L183" s="2">
        <v>0.7</v>
      </c>
      <c r="M183" s="2" t="s">
        <v>834</v>
      </c>
      <c r="N183" s="15">
        <f t="shared" si="2"/>
        <v>2.8571428571428574E-2</v>
      </c>
    </row>
    <row r="184" spans="1:14" x14ac:dyDescent="0.45">
      <c r="A184" s="2" t="s">
        <v>224</v>
      </c>
      <c r="B184" s="2" t="s">
        <v>330</v>
      </c>
      <c r="C184" s="2">
        <v>5</v>
      </c>
      <c r="D184" s="2" t="s">
        <v>1465</v>
      </c>
      <c r="E184" s="2" t="s">
        <v>1466</v>
      </c>
      <c r="F184" s="2">
        <v>1.4999999999999999E-2</v>
      </c>
      <c r="G184" s="2">
        <v>1.3</v>
      </c>
      <c r="H184" s="2">
        <v>2300</v>
      </c>
      <c r="I184" s="2">
        <v>839</v>
      </c>
      <c r="J184" s="2">
        <v>0.9</v>
      </c>
      <c r="K184" s="2">
        <v>0.7</v>
      </c>
      <c r="L184" s="2">
        <v>0.7</v>
      </c>
      <c r="M184" s="2" t="s">
        <v>834</v>
      </c>
      <c r="N184" s="15">
        <f t="shared" si="2"/>
        <v>1.1538461538461537E-2</v>
      </c>
    </row>
    <row r="185" spans="1:14" x14ac:dyDescent="0.45">
      <c r="A185" s="2" t="s">
        <v>224</v>
      </c>
      <c r="B185" s="2" t="s">
        <v>319</v>
      </c>
      <c r="C185" s="2">
        <v>1</v>
      </c>
      <c r="D185" s="2" t="s">
        <v>1463</v>
      </c>
      <c r="E185" s="2" t="s">
        <v>1464</v>
      </c>
      <c r="F185" s="2">
        <v>0.01</v>
      </c>
      <c r="G185" s="2">
        <v>0.35</v>
      </c>
      <c r="H185" s="2">
        <v>1200</v>
      </c>
      <c r="I185" s="2">
        <v>999</v>
      </c>
      <c r="J185" s="2">
        <v>0.9</v>
      </c>
      <c r="K185" s="2">
        <v>0.7</v>
      </c>
      <c r="L185" s="2">
        <v>0.7</v>
      </c>
      <c r="M185" s="2" t="s">
        <v>834</v>
      </c>
      <c r="N185" s="15">
        <f t="shared" si="2"/>
        <v>2.8571428571428574E-2</v>
      </c>
    </row>
    <row r="186" spans="1:14" x14ac:dyDescent="0.45">
      <c r="A186" s="2" t="s">
        <v>224</v>
      </c>
      <c r="B186" s="2" t="s">
        <v>319</v>
      </c>
      <c r="C186" s="2">
        <v>2</v>
      </c>
      <c r="D186" s="2" t="s">
        <v>1451</v>
      </c>
      <c r="E186" s="2" t="s">
        <v>1452</v>
      </c>
      <c r="F186" s="2">
        <v>2.5000000000000001E-2</v>
      </c>
      <c r="G186" s="2">
        <v>0.21</v>
      </c>
      <c r="H186" s="2">
        <v>900</v>
      </c>
      <c r="I186" s="2">
        <v>1000</v>
      </c>
      <c r="J186" s="2">
        <v>0.9</v>
      </c>
      <c r="K186" s="2">
        <v>0.7</v>
      </c>
      <c r="L186" s="2">
        <v>0.7</v>
      </c>
      <c r="M186" s="2" t="s">
        <v>834</v>
      </c>
      <c r="N186" s="15">
        <f t="shared" si="2"/>
        <v>0.11904761904761905</v>
      </c>
    </row>
    <row r="187" spans="1:14" x14ac:dyDescent="0.45">
      <c r="A187" s="2" t="s">
        <v>224</v>
      </c>
      <c r="B187" s="2" t="s">
        <v>319</v>
      </c>
      <c r="C187" s="2">
        <v>3</v>
      </c>
      <c r="D187" s="2" t="s">
        <v>1460</v>
      </c>
      <c r="E187" s="2" t="s">
        <v>1450</v>
      </c>
      <c r="F187" s="2">
        <v>0.04</v>
      </c>
      <c r="G187" s="2">
        <v>0.04</v>
      </c>
      <c r="H187" s="2">
        <v>80</v>
      </c>
      <c r="I187" s="2">
        <v>1028</v>
      </c>
      <c r="J187" s="2">
        <v>0.95</v>
      </c>
      <c r="K187" s="2">
        <v>0.7</v>
      </c>
      <c r="L187" s="2">
        <v>0.7</v>
      </c>
      <c r="M187" s="2" t="s">
        <v>834</v>
      </c>
      <c r="N187" s="15">
        <f t="shared" si="2"/>
        <v>1</v>
      </c>
    </row>
    <row r="188" spans="1:14" x14ac:dyDescent="0.45">
      <c r="A188" s="2" t="s">
        <v>224</v>
      </c>
      <c r="B188" s="2" t="s">
        <v>319</v>
      </c>
      <c r="C188" s="2">
        <v>4</v>
      </c>
      <c r="D188" s="2" t="s">
        <v>1488</v>
      </c>
      <c r="E188" s="2" t="s">
        <v>1462</v>
      </c>
      <c r="F188" s="2">
        <v>0.04</v>
      </c>
      <c r="G188" s="2">
        <v>1</v>
      </c>
      <c r="H188" s="2">
        <v>1</v>
      </c>
      <c r="I188" s="2">
        <v>1003</v>
      </c>
      <c r="J188" s="2">
        <v>0.7</v>
      </c>
      <c r="K188" s="2">
        <v>0.7</v>
      </c>
      <c r="L188" s="2">
        <v>0.7</v>
      </c>
      <c r="M188" s="2" t="s">
        <v>834</v>
      </c>
      <c r="N188" s="15">
        <f t="shared" si="2"/>
        <v>0.04</v>
      </c>
    </row>
    <row r="189" spans="1:14" x14ac:dyDescent="0.45">
      <c r="A189" s="2" t="s">
        <v>224</v>
      </c>
      <c r="B189" s="2" t="s">
        <v>319</v>
      </c>
      <c r="C189" s="2">
        <v>5</v>
      </c>
      <c r="D189" s="2" t="s">
        <v>1489</v>
      </c>
      <c r="E189" s="2" t="s">
        <v>1490</v>
      </c>
      <c r="F189" s="2">
        <v>0.3</v>
      </c>
      <c r="G189" s="2">
        <v>2.2999999999999998</v>
      </c>
      <c r="H189" s="2">
        <v>2399.9599999999991</v>
      </c>
      <c r="I189" s="2">
        <v>1000</v>
      </c>
      <c r="J189" s="2">
        <v>0.85</v>
      </c>
      <c r="K189" s="2">
        <v>0.7</v>
      </c>
      <c r="L189" s="2">
        <v>0.7</v>
      </c>
      <c r="M189" s="2" t="s">
        <v>834</v>
      </c>
      <c r="N189" s="15">
        <f t="shared" si="2"/>
        <v>0.13043478260869565</v>
      </c>
    </row>
    <row r="190" spans="1:14" x14ac:dyDescent="0.45">
      <c r="A190" s="2" t="s">
        <v>224</v>
      </c>
      <c r="B190" s="2" t="s">
        <v>319</v>
      </c>
      <c r="C190" s="2">
        <v>6</v>
      </c>
      <c r="D190" s="2" t="s">
        <v>1482</v>
      </c>
      <c r="E190" s="2" t="s">
        <v>1446</v>
      </c>
      <c r="F190" s="2">
        <v>0.02</v>
      </c>
      <c r="G190" s="2">
        <v>0.35</v>
      </c>
      <c r="H190" s="2">
        <v>1200</v>
      </c>
      <c r="I190" s="2">
        <v>999</v>
      </c>
      <c r="J190" s="2">
        <v>0.9</v>
      </c>
      <c r="K190" s="2">
        <v>0.7</v>
      </c>
      <c r="L190" s="2">
        <v>0.7</v>
      </c>
      <c r="M190" s="2" t="s">
        <v>834</v>
      </c>
      <c r="N190" s="15">
        <f t="shared" si="2"/>
        <v>5.7142857142857148E-2</v>
      </c>
    </row>
    <row r="191" spans="1:14" x14ac:dyDescent="0.45">
      <c r="A191" s="2" t="s">
        <v>224</v>
      </c>
      <c r="B191" s="2" t="s">
        <v>328</v>
      </c>
      <c r="C191" s="2">
        <v>1</v>
      </c>
      <c r="D191" s="2" t="s">
        <v>1465</v>
      </c>
      <c r="E191" s="2" t="s">
        <v>1466</v>
      </c>
      <c r="F191" s="2">
        <v>1.4999999999999999E-2</v>
      </c>
      <c r="G191" s="2">
        <v>1.3</v>
      </c>
      <c r="H191" s="2">
        <v>2300</v>
      </c>
      <c r="I191" s="2">
        <v>839</v>
      </c>
      <c r="J191" s="2">
        <v>0.9</v>
      </c>
      <c r="K191" s="2">
        <v>0.7</v>
      </c>
      <c r="L191" s="2">
        <v>0.7</v>
      </c>
      <c r="M191" s="2" t="s">
        <v>834</v>
      </c>
      <c r="N191" s="15">
        <f t="shared" si="2"/>
        <v>1.1538461538461537E-2</v>
      </c>
    </row>
    <row r="192" spans="1:14" x14ac:dyDescent="0.45">
      <c r="A192" s="2" t="s">
        <v>224</v>
      </c>
      <c r="B192" s="2" t="s">
        <v>328</v>
      </c>
      <c r="C192" s="2">
        <v>2</v>
      </c>
      <c r="D192" s="2" t="s">
        <v>1445</v>
      </c>
      <c r="E192" s="2" t="s">
        <v>1446</v>
      </c>
      <c r="F192" s="2">
        <v>0.01</v>
      </c>
      <c r="G192" s="2">
        <v>0.35</v>
      </c>
      <c r="H192" s="2">
        <v>1200</v>
      </c>
      <c r="I192" s="2">
        <v>999</v>
      </c>
      <c r="J192" s="2">
        <v>0.9</v>
      </c>
      <c r="K192" s="2">
        <v>0.7</v>
      </c>
      <c r="L192" s="2">
        <v>0.7</v>
      </c>
      <c r="M192" s="2" t="s">
        <v>834</v>
      </c>
      <c r="N192" s="15">
        <f t="shared" si="2"/>
        <v>2.8571428571428574E-2</v>
      </c>
    </row>
    <row r="193" spans="1:14" x14ac:dyDescent="0.45">
      <c r="A193" s="2" t="s">
        <v>224</v>
      </c>
      <c r="B193" s="2" t="s">
        <v>328</v>
      </c>
      <c r="C193" s="2">
        <v>3</v>
      </c>
      <c r="D193" s="2" t="s">
        <v>1451</v>
      </c>
      <c r="E193" s="2" t="s">
        <v>1452</v>
      </c>
      <c r="F193" s="2">
        <v>2.5000000000000001E-2</v>
      </c>
      <c r="G193" s="2">
        <v>0.21</v>
      </c>
      <c r="H193" s="2">
        <v>900</v>
      </c>
      <c r="I193" s="2">
        <v>1000</v>
      </c>
      <c r="J193" s="2">
        <v>0.9</v>
      </c>
      <c r="K193" s="2">
        <v>0.7</v>
      </c>
      <c r="L193" s="2">
        <v>0.7</v>
      </c>
      <c r="M193" s="2" t="s">
        <v>834</v>
      </c>
      <c r="N193" s="15">
        <f t="shared" si="2"/>
        <v>0.11904761904761905</v>
      </c>
    </row>
    <row r="194" spans="1:14" x14ac:dyDescent="0.45">
      <c r="A194" s="2" t="s">
        <v>224</v>
      </c>
      <c r="B194" s="2" t="s">
        <v>328</v>
      </c>
      <c r="C194" s="2">
        <v>4</v>
      </c>
      <c r="D194" s="2" t="s">
        <v>1460</v>
      </c>
      <c r="E194" s="2" t="s">
        <v>1450</v>
      </c>
      <c r="F194" s="2">
        <v>0.04</v>
      </c>
      <c r="G194" s="2">
        <v>0.04</v>
      </c>
      <c r="H194" s="2">
        <v>80</v>
      </c>
      <c r="I194" s="2">
        <v>1028</v>
      </c>
      <c r="J194" s="2">
        <v>0.95</v>
      </c>
      <c r="K194" s="2">
        <v>0.7</v>
      </c>
      <c r="L194" s="2">
        <v>0.7</v>
      </c>
      <c r="M194" s="2" t="s">
        <v>834</v>
      </c>
      <c r="N194" s="15">
        <f t="shared" ref="N194:N220" si="3">IF(G194&gt;0,F194/G194,0)</f>
        <v>1</v>
      </c>
    </row>
    <row r="195" spans="1:14" x14ac:dyDescent="0.45">
      <c r="A195" s="2" t="s">
        <v>224</v>
      </c>
      <c r="B195" s="2" t="s">
        <v>328</v>
      </c>
      <c r="C195" s="2">
        <v>5</v>
      </c>
      <c r="D195" s="2" t="s">
        <v>1461</v>
      </c>
      <c r="E195" s="2" t="s">
        <v>1462</v>
      </c>
      <c r="F195" s="2">
        <v>6.5000000000000002E-2</v>
      </c>
      <c r="G195" s="2">
        <v>1</v>
      </c>
      <c r="H195" s="2">
        <v>1</v>
      </c>
      <c r="I195" s="2">
        <v>1003</v>
      </c>
      <c r="J195" s="2">
        <v>0.7</v>
      </c>
      <c r="K195" s="2">
        <v>0.7</v>
      </c>
      <c r="L195" s="2">
        <v>0.7</v>
      </c>
      <c r="M195" s="2" t="s">
        <v>834</v>
      </c>
      <c r="N195" s="15">
        <f t="shared" si="3"/>
        <v>6.5000000000000002E-2</v>
      </c>
    </row>
    <row r="196" spans="1:14" x14ac:dyDescent="0.45">
      <c r="A196" s="2" t="s">
        <v>224</v>
      </c>
      <c r="B196" s="2" t="s">
        <v>328</v>
      </c>
      <c r="C196" s="2">
        <v>6</v>
      </c>
      <c r="D196" s="2" t="s">
        <v>1460</v>
      </c>
      <c r="E196" s="2" t="s">
        <v>1450</v>
      </c>
      <c r="F196" s="2">
        <v>0.04</v>
      </c>
      <c r="G196" s="2">
        <v>0.04</v>
      </c>
      <c r="H196" s="2">
        <v>80</v>
      </c>
      <c r="I196" s="2">
        <v>1028</v>
      </c>
      <c r="J196" s="2">
        <v>0.95</v>
      </c>
      <c r="K196" s="2">
        <v>0.7</v>
      </c>
      <c r="L196" s="2">
        <v>0.7</v>
      </c>
      <c r="M196" s="2" t="s">
        <v>834</v>
      </c>
      <c r="N196" s="15">
        <f t="shared" si="3"/>
        <v>1</v>
      </c>
    </row>
    <row r="197" spans="1:14" x14ac:dyDescent="0.45">
      <c r="A197" s="2" t="s">
        <v>224</v>
      </c>
      <c r="B197" s="2" t="s">
        <v>328</v>
      </c>
      <c r="C197" s="2">
        <v>7</v>
      </c>
      <c r="D197" s="2" t="s">
        <v>1451</v>
      </c>
      <c r="E197" s="2" t="s">
        <v>1452</v>
      </c>
      <c r="F197" s="2">
        <v>2.5000000000000001E-2</v>
      </c>
      <c r="G197" s="2">
        <v>0.21</v>
      </c>
      <c r="H197" s="2">
        <v>900</v>
      </c>
      <c r="I197" s="2">
        <v>1000</v>
      </c>
      <c r="J197" s="2">
        <v>0.9</v>
      </c>
      <c r="K197" s="2">
        <v>0.7</v>
      </c>
      <c r="L197" s="2">
        <v>0.7</v>
      </c>
      <c r="M197" s="2" t="s">
        <v>834</v>
      </c>
      <c r="N197" s="15">
        <f t="shared" si="3"/>
        <v>0.11904761904761905</v>
      </c>
    </row>
    <row r="198" spans="1:14" x14ac:dyDescent="0.45">
      <c r="A198" s="2" t="s">
        <v>224</v>
      </c>
      <c r="B198" s="2" t="s">
        <v>328</v>
      </c>
      <c r="C198" s="2">
        <v>8</v>
      </c>
      <c r="D198" s="2" t="s">
        <v>1463</v>
      </c>
      <c r="E198" s="2" t="s">
        <v>1464</v>
      </c>
      <c r="F198" s="2">
        <v>0.01</v>
      </c>
      <c r="G198" s="2">
        <v>0.35</v>
      </c>
      <c r="H198" s="2">
        <v>1200</v>
      </c>
      <c r="I198" s="2">
        <v>999</v>
      </c>
      <c r="J198" s="2">
        <v>0.9</v>
      </c>
      <c r="K198" s="2">
        <v>0.7</v>
      </c>
      <c r="L198" s="2">
        <v>0.7</v>
      </c>
      <c r="M198" s="2" t="s">
        <v>834</v>
      </c>
      <c r="N198" s="15">
        <f t="shared" si="3"/>
        <v>2.8571428571428574E-2</v>
      </c>
    </row>
    <row r="199" spans="1:14" x14ac:dyDescent="0.45">
      <c r="A199" s="2" t="s">
        <v>224</v>
      </c>
      <c r="B199" s="2" t="s">
        <v>328</v>
      </c>
      <c r="C199" s="2">
        <v>9</v>
      </c>
      <c r="D199" s="2" t="s">
        <v>1465</v>
      </c>
      <c r="E199" s="2" t="s">
        <v>1466</v>
      </c>
      <c r="F199" s="2">
        <v>1.4999999999999999E-2</v>
      </c>
      <c r="G199" s="2">
        <v>1.3</v>
      </c>
      <c r="H199" s="2">
        <v>2300</v>
      </c>
      <c r="I199" s="2">
        <v>839</v>
      </c>
      <c r="J199" s="2">
        <v>0.9</v>
      </c>
      <c r="K199" s="2">
        <v>0.7</v>
      </c>
      <c r="L199" s="2">
        <v>0.7</v>
      </c>
      <c r="M199" s="2" t="s">
        <v>834</v>
      </c>
      <c r="N199" s="15">
        <f t="shared" si="3"/>
        <v>1.1538461538461537E-2</v>
      </c>
    </row>
    <row r="200" spans="1:14" x14ac:dyDescent="0.45">
      <c r="A200" s="2" t="s">
        <v>224</v>
      </c>
      <c r="B200" s="2" t="s">
        <v>316</v>
      </c>
      <c r="C200" s="2">
        <v>1</v>
      </c>
      <c r="D200" s="2" t="s">
        <v>1491</v>
      </c>
      <c r="E200" s="2" t="s">
        <v>1492</v>
      </c>
      <c r="F200" s="2">
        <v>0.01</v>
      </c>
      <c r="G200" s="2">
        <v>4.1000000000000002E-2</v>
      </c>
      <c r="H200" s="2">
        <v>50</v>
      </c>
      <c r="I200" s="2">
        <v>2301</v>
      </c>
      <c r="J200" s="2">
        <v>0.95</v>
      </c>
      <c r="K200" s="2">
        <v>0.7</v>
      </c>
      <c r="L200" s="2">
        <v>0.7</v>
      </c>
      <c r="M200" s="2" t="s">
        <v>834</v>
      </c>
      <c r="N200" s="15">
        <f t="shared" si="3"/>
        <v>0.24390243902439024</v>
      </c>
    </row>
    <row r="201" spans="1:14" x14ac:dyDescent="0.45">
      <c r="A201" s="2" t="s">
        <v>224</v>
      </c>
      <c r="B201" s="2" t="s">
        <v>316</v>
      </c>
      <c r="C201" s="2">
        <v>2</v>
      </c>
      <c r="D201" s="2" t="s">
        <v>1478</v>
      </c>
      <c r="E201" s="2" t="s">
        <v>1479</v>
      </c>
      <c r="F201" s="2">
        <v>0.15</v>
      </c>
      <c r="G201" s="2">
        <v>1.2</v>
      </c>
      <c r="H201" s="2">
        <v>1700</v>
      </c>
      <c r="I201" s="2">
        <v>1000</v>
      </c>
      <c r="J201" s="2">
        <v>0.95</v>
      </c>
      <c r="K201" s="2">
        <v>0.7</v>
      </c>
      <c r="L201" s="2">
        <v>0.7</v>
      </c>
      <c r="M201" s="2" t="s">
        <v>834</v>
      </c>
      <c r="N201" s="15">
        <f t="shared" si="3"/>
        <v>0.125</v>
      </c>
    </row>
    <row r="202" spans="1:14" x14ac:dyDescent="0.45">
      <c r="A202" s="2" t="s">
        <v>224</v>
      </c>
      <c r="B202" s="2" t="s">
        <v>316</v>
      </c>
      <c r="C202" s="2">
        <v>3</v>
      </c>
      <c r="D202" s="2" t="s">
        <v>1437</v>
      </c>
      <c r="E202" s="2" t="s">
        <v>1438</v>
      </c>
      <c r="F202" s="2">
        <v>0.1</v>
      </c>
      <c r="G202" s="2">
        <v>0.04</v>
      </c>
      <c r="H202" s="2">
        <v>30</v>
      </c>
      <c r="I202" s="2">
        <v>1452</v>
      </c>
      <c r="J202" s="2">
        <v>0.95</v>
      </c>
      <c r="K202" s="2">
        <v>0.7</v>
      </c>
      <c r="L202" s="2">
        <v>0.7</v>
      </c>
      <c r="M202" s="2" t="s">
        <v>834</v>
      </c>
      <c r="N202" s="15">
        <f t="shared" si="3"/>
        <v>2.5</v>
      </c>
    </row>
    <row r="203" spans="1:14" x14ac:dyDescent="0.45">
      <c r="A203" s="2" t="s">
        <v>224</v>
      </c>
      <c r="B203" s="2" t="s">
        <v>316</v>
      </c>
      <c r="C203" s="2">
        <v>4</v>
      </c>
      <c r="D203" s="2" t="s">
        <v>1480</v>
      </c>
      <c r="E203" s="2" t="s">
        <v>1481</v>
      </c>
      <c r="F203" s="2">
        <v>0.15</v>
      </c>
      <c r="G203" s="2">
        <v>0.66</v>
      </c>
      <c r="H203" s="2">
        <v>1100</v>
      </c>
      <c r="I203" s="2">
        <v>839</v>
      </c>
      <c r="J203" s="2">
        <v>0.95</v>
      </c>
      <c r="K203" s="2">
        <v>0.7</v>
      </c>
      <c r="L203" s="2">
        <v>0.7</v>
      </c>
      <c r="M203" s="2" t="s">
        <v>834</v>
      </c>
      <c r="N203" s="15">
        <f t="shared" si="3"/>
        <v>0.22727272727272727</v>
      </c>
    </row>
    <row r="204" spans="1:14" x14ac:dyDescent="0.45">
      <c r="A204" s="2" t="s">
        <v>224</v>
      </c>
      <c r="B204" s="2" t="s">
        <v>316</v>
      </c>
      <c r="C204" s="2">
        <v>5</v>
      </c>
      <c r="D204" s="2" t="s">
        <v>1482</v>
      </c>
      <c r="E204" s="2" t="s">
        <v>1446</v>
      </c>
      <c r="F204" s="2">
        <v>0.02</v>
      </c>
      <c r="G204" s="2">
        <v>0.35</v>
      </c>
      <c r="H204" s="2">
        <v>1200</v>
      </c>
      <c r="I204" s="2">
        <v>999</v>
      </c>
      <c r="J204" s="2">
        <v>0.9</v>
      </c>
      <c r="K204" s="2">
        <v>0.7</v>
      </c>
      <c r="L204" s="2">
        <v>0.7</v>
      </c>
      <c r="M204" s="2" t="s">
        <v>834</v>
      </c>
      <c r="N204" s="15">
        <f t="shared" si="3"/>
        <v>5.7142857142857148E-2</v>
      </c>
    </row>
    <row r="205" spans="1:14" x14ac:dyDescent="0.45">
      <c r="A205" s="2" t="s">
        <v>224</v>
      </c>
      <c r="B205" s="2" t="s">
        <v>310</v>
      </c>
      <c r="C205" s="2">
        <v>1</v>
      </c>
      <c r="D205" s="2" t="s">
        <v>1467</v>
      </c>
      <c r="E205" s="2" t="s">
        <v>1468</v>
      </c>
      <c r="F205" s="2">
        <v>0.06</v>
      </c>
      <c r="G205" s="2">
        <v>1.046</v>
      </c>
      <c r="H205" s="2">
        <v>2300</v>
      </c>
      <c r="I205" s="2">
        <v>657</v>
      </c>
      <c r="J205" s="2">
        <v>0.95</v>
      </c>
      <c r="K205" s="2">
        <v>0.7</v>
      </c>
      <c r="L205" s="2">
        <v>0.7</v>
      </c>
      <c r="M205" s="2" t="s">
        <v>834</v>
      </c>
      <c r="N205" s="15">
        <f t="shared" si="3"/>
        <v>5.736137667304015E-2</v>
      </c>
    </row>
    <row r="206" spans="1:14" x14ac:dyDescent="0.45">
      <c r="A206" s="2" t="s">
        <v>224</v>
      </c>
      <c r="B206" s="2" t="s">
        <v>310</v>
      </c>
      <c r="C206" s="2">
        <v>2</v>
      </c>
      <c r="D206" s="2" t="s">
        <v>1469</v>
      </c>
      <c r="E206" s="2" t="s">
        <v>1470</v>
      </c>
      <c r="F206" s="2">
        <v>0.08</v>
      </c>
      <c r="G206" s="2">
        <v>1.2</v>
      </c>
      <c r="H206" s="2">
        <v>1700</v>
      </c>
      <c r="I206" s="2">
        <v>1000</v>
      </c>
      <c r="J206" s="2">
        <v>0.95</v>
      </c>
      <c r="K206" s="2">
        <v>0.7</v>
      </c>
      <c r="L206" s="2">
        <v>0.7</v>
      </c>
      <c r="M206" s="2" t="s">
        <v>834</v>
      </c>
      <c r="N206" s="15">
        <f t="shared" si="3"/>
        <v>6.6666666666666666E-2</v>
      </c>
    </row>
    <row r="207" spans="1:14" x14ac:dyDescent="0.45">
      <c r="A207" s="2" t="s">
        <v>224</v>
      </c>
      <c r="B207" s="2" t="s">
        <v>310</v>
      </c>
      <c r="C207" s="2">
        <v>3</v>
      </c>
      <c r="D207" s="2" t="s">
        <v>1447</v>
      </c>
      <c r="E207" s="2" t="s">
        <v>1438</v>
      </c>
      <c r="F207" s="2">
        <v>0.06</v>
      </c>
      <c r="G207" s="2">
        <v>0.04</v>
      </c>
      <c r="H207" s="2">
        <v>30</v>
      </c>
      <c r="I207" s="2">
        <v>1452</v>
      </c>
      <c r="J207" s="2">
        <v>0.95</v>
      </c>
      <c r="K207" s="2">
        <v>0.7</v>
      </c>
      <c r="L207" s="2">
        <v>0.7</v>
      </c>
      <c r="M207" s="2" t="s">
        <v>834</v>
      </c>
      <c r="N207" s="15">
        <f t="shared" si="3"/>
        <v>1.5</v>
      </c>
    </row>
    <row r="208" spans="1:14" x14ac:dyDescent="0.45">
      <c r="A208" s="2" t="s">
        <v>224</v>
      </c>
      <c r="B208" s="2" t="s">
        <v>310</v>
      </c>
      <c r="C208" s="2">
        <v>4</v>
      </c>
      <c r="D208" s="2" t="s">
        <v>1471</v>
      </c>
      <c r="E208" s="2" t="s">
        <v>1444</v>
      </c>
      <c r="F208" s="2">
        <v>0.05</v>
      </c>
      <c r="G208" s="2">
        <v>1.046</v>
      </c>
      <c r="H208" s="2">
        <v>2300</v>
      </c>
      <c r="I208" s="2">
        <v>657</v>
      </c>
      <c r="J208" s="2">
        <v>0.95</v>
      </c>
      <c r="K208" s="2">
        <v>0.7</v>
      </c>
      <c r="L208" s="2">
        <v>0.7</v>
      </c>
      <c r="M208" s="2" t="s">
        <v>834</v>
      </c>
      <c r="N208" s="15">
        <f t="shared" si="3"/>
        <v>4.780114722753346E-2</v>
      </c>
    </row>
    <row r="209" spans="1:14" x14ac:dyDescent="0.45">
      <c r="A209" s="2" t="s">
        <v>224</v>
      </c>
      <c r="B209" s="2" t="s">
        <v>310</v>
      </c>
      <c r="C209" s="2">
        <v>5</v>
      </c>
      <c r="D209" s="2" t="s">
        <v>1472</v>
      </c>
      <c r="E209" s="2" t="s">
        <v>1436</v>
      </c>
      <c r="F209" s="2">
        <v>0.35</v>
      </c>
      <c r="G209" s="2">
        <v>0.28499999999999998</v>
      </c>
      <c r="H209" s="2">
        <v>1</v>
      </c>
      <c r="I209" s="2">
        <v>1004</v>
      </c>
      <c r="J209" s="2">
        <v>0.7</v>
      </c>
      <c r="K209" s="2">
        <v>0.7</v>
      </c>
      <c r="L209" s="2">
        <v>0.7</v>
      </c>
      <c r="M209" s="2" t="s">
        <v>834</v>
      </c>
      <c r="N209" s="15">
        <f t="shared" si="3"/>
        <v>1.2280701754385965</v>
      </c>
    </row>
    <row r="210" spans="1:14" x14ac:dyDescent="0.45">
      <c r="A210" s="2" t="s">
        <v>224</v>
      </c>
      <c r="B210" s="2" t="s">
        <v>310</v>
      </c>
      <c r="C210" s="2">
        <v>6</v>
      </c>
      <c r="D210" s="2" t="s">
        <v>1473</v>
      </c>
      <c r="E210" s="2" t="s">
        <v>1474</v>
      </c>
      <c r="F210" s="2">
        <v>0.1</v>
      </c>
      <c r="G210" s="2">
        <v>1.046</v>
      </c>
      <c r="H210" s="2">
        <v>2300</v>
      </c>
      <c r="I210" s="2">
        <v>657</v>
      </c>
      <c r="J210" s="2">
        <v>0.95</v>
      </c>
      <c r="K210" s="2">
        <v>0.7</v>
      </c>
      <c r="L210" s="2">
        <v>0.7</v>
      </c>
      <c r="M210" s="2" t="s">
        <v>834</v>
      </c>
      <c r="N210" s="15">
        <f t="shared" si="3"/>
        <v>9.5602294455066919E-2</v>
      </c>
    </row>
    <row r="211" spans="1:14" x14ac:dyDescent="0.45">
      <c r="A211" s="2" t="s">
        <v>224</v>
      </c>
      <c r="B211" s="2" t="s">
        <v>310</v>
      </c>
      <c r="C211" s="2">
        <v>7</v>
      </c>
      <c r="D211" s="2" t="s">
        <v>1475</v>
      </c>
      <c r="E211" s="2" t="s">
        <v>1476</v>
      </c>
      <c r="F211" s="2">
        <v>0.2</v>
      </c>
      <c r="G211" s="2">
        <v>1.2</v>
      </c>
      <c r="H211" s="2">
        <v>1700</v>
      </c>
      <c r="I211" s="2">
        <v>1000</v>
      </c>
      <c r="J211" s="2">
        <v>0.95</v>
      </c>
      <c r="K211" s="2">
        <v>0.7</v>
      </c>
      <c r="L211" s="2">
        <v>0.7</v>
      </c>
      <c r="M211" s="2" t="s">
        <v>834</v>
      </c>
      <c r="N211" s="15">
        <f t="shared" si="3"/>
        <v>0.16666666666666669</v>
      </c>
    </row>
    <row r="212" spans="1:14" x14ac:dyDescent="0.45">
      <c r="A212" s="2" t="s">
        <v>224</v>
      </c>
      <c r="B212" s="2" t="s">
        <v>1395</v>
      </c>
      <c r="C212" s="2">
        <v>1</v>
      </c>
      <c r="D212" s="2" t="s">
        <v>1477</v>
      </c>
      <c r="E212" s="2" t="s">
        <v>1466</v>
      </c>
      <c r="F212" s="2">
        <v>0.01</v>
      </c>
      <c r="G212" s="2">
        <v>1.3</v>
      </c>
      <c r="H212" s="2">
        <v>2300</v>
      </c>
      <c r="I212" s="2">
        <v>839</v>
      </c>
      <c r="J212" s="2">
        <v>0.9</v>
      </c>
      <c r="K212" s="2">
        <v>0.7</v>
      </c>
      <c r="L212" s="2">
        <v>0.7</v>
      </c>
      <c r="M212" s="2" t="s">
        <v>834</v>
      </c>
      <c r="N212" s="15">
        <f t="shared" si="3"/>
        <v>7.6923076923076919E-3</v>
      </c>
    </row>
    <row r="213" spans="1:14" x14ac:dyDescent="0.45">
      <c r="A213" s="2" t="s">
        <v>224</v>
      </c>
      <c r="B213" s="2" t="s">
        <v>1395</v>
      </c>
      <c r="C213" s="2">
        <v>2</v>
      </c>
      <c r="D213" s="2" t="s">
        <v>1478</v>
      </c>
      <c r="E213" s="2" t="s">
        <v>1479</v>
      </c>
      <c r="F213" s="2">
        <v>0.15</v>
      </c>
      <c r="G213" s="2">
        <v>1.2</v>
      </c>
      <c r="H213" s="2">
        <v>1700</v>
      </c>
      <c r="I213" s="2">
        <v>1000</v>
      </c>
      <c r="J213" s="2">
        <v>0.95</v>
      </c>
      <c r="K213" s="2">
        <v>0.7</v>
      </c>
      <c r="L213" s="2">
        <v>0.7</v>
      </c>
      <c r="M213" s="2" t="s">
        <v>834</v>
      </c>
      <c r="N213" s="15">
        <f t="shared" si="3"/>
        <v>0.125</v>
      </c>
    </row>
    <row r="214" spans="1:14" x14ac:dyDescent="0.45">
      <c r="A214" s="2" t="s">
        <v>224</v>
      </c>
      <c r="B214" s="2" t="s">
        <v>1395</v>
      </c>
      <c r="C214" s="2">
        <v>3</v>
      </c>
      <c r="D214" s="2" t="s">
        <v>1437</v>
      </c>
      <c r="E214" s="2" t="s">
        <v>1438</v>
      </c>
      <c r="F214" s="2">
        <v>0.1</v>
      </c>
      <c r="G214" s="2">
        <v>0.04</v>
      </c>
      <c r="H214" s="2">
        <v>30</v>
      </c>
      <c r="I214" s="2">
        <v>1452</v>
      </c>
      <c r="J214" s="2">
        <v>0.95</v>
      </c>
      <c r="K214" s="2">
        <v>0.7</v>
      </c>
      <c r="L214" s="2">
        <v>0.7</v>
      </c>
      <c r="M214" s="2" t="s">
        <v>834</v>
      </c>
      <c r="N214" s="15">
        <f t="shared" si="3"/>
        <v>2.5</v>
      </c>
    </row>
    <row r="215" spans="1:14" x14ac:dyDescent="0.45">
      <c r="A215" s="2" t="s">
        <v>224</v>
      </c>
      <c r="B215" s="2" t="s">
        <v>1395</v>
      </c>
      <c r="C215" s="2">
        <v>4</v>
      </c>
      <c r="D215" s="2" t="s">
        <v>1480</v>
      </c>
      <c r="E215" s="2" t="s">
        <v>1481</v>
      </c>
      <c r="F215" s="2">
        <v>0.15</v>
      </c>
      <c r="G215" s="2">
        <v>0.66</v>
      </c>
      <c r="H215" s="2">
        <v>1100</v>
      </c>
      <c r="I215" s="2">
        <v>839</v>
      </c>
      <c r="J215" s="2">
        <v>0.95</v>
      </c>
      <c r="K215" s="2">
        <v>0.7</v>
      </c>
      <c r="L215" s="2">
        <v>0.7</v>
      </c>
      <c r="M215" s="2" t="s">
        <v>834</v>
      </c>
      <c r="N215" s="15">
        <f t="shared" si="3"/>
        <v>0.22727272727272727</v>
      </c>
    </row>
    <row r="216" spans="1:14" x14ac:dyDescent="0.45">
      <c r="A216" s="2" t="s">
        <v>224</v>
      </c>
      <c r="B216" s="2" t="s">
        <v>1395</v>
      </c>
      <c r="C216" s="2">
        <v>5</v>
      </c>
      <c r="D216" s="2" t="s">
        <v>1482</v>
      </c>
      <c r="E216" s="2" t="s">
        <v>1446</v>
      </c>
      <c r="F216" s="2">
        <v>0.02</v>
      </c>
      <c r="G216" s="2">
        <v>0.35</v>
      </c>
      <c r="H216" s="2">
        <v>1200</v>
      </c>
      <c r="I216" s="2">
        <v>999</v>
      </c>
      <c r="J216" s="2">
        <v>0.9</v>
      </c>
      <c r="K216" s="2">
        <v>0.7</v>
      </c>
      <c r="L216" s="2">
        <v>0.7</v>
      </c>
      <c r="M216" s="2" t="s">
        <v>834</v>
      </c>
      <c r="N216" s="15">
        <f t="shared" si="3"/>
        <v>5.7142857142857148E-2</v>
      </c>
    </row>
    <row r="217" spans="1:14" x14ac:dyDescent="0.45">
      <c r="A217" s="2" t="s">
        <v>224</v>
      </c>
      <c r="B217" s="2" t="s">
        <v>306</v>
      </c>
      <c r="C217" s="2">
        <v>1</v>
      </c>
      <c r="D217" s="2" t="s">
        <v>1483</v>
      </c>
      <c r="E217" s="2" t="s">
        <v>1484</v>
      </c>
      <c r="F217" s="2">
        <v>0.08</v>
      </c>
      <c r="G217" s="2">
        <v>1.2</v>
      </c>
      <c r="H217" s="2">
        <v>1700</v>
      </c>
      <c r="I217" s="2">
        <v>1000</v>
      </c>
      <c r="J217" s="2">
        <v>0.95</v>
      </c>
      <c r="K217" s="2">
        <v>0.7</v>
      </c>
      <c r="L217" s="2">
        <v>0.7</v>
      </c>
      <c r="M217" s="2" t="s">
        <v>834</v>
      </c>
      <c r="N217" s="15">
        <f t="shared" si="3"/>
        <v>6.6666666666666666E-2</v>
      </c>
    </row>
    <row r="218" spans="1:14" x14ac:dyDescent="0.45">
      <c r="A218" s="2" t="s">
        <v>224</v>
      </c>
      <c r="B218" s="2" t="s">
        <v>306</v>
      </c>
      <c r="C218" s="2">
        <v>2</v>
      </c>
      <c r="D218" s="2" t="s">
        <v>1485</v>
      </c>
      <c r="E218" s="2" t="s">
        <v>1470</v>
      </c>
      <c r="F218" s="2">
        <v>0.12</v>
      </c>
      <c r="G218" s="2">
        <v>1.2</v>
      </c>
      <c r="H218" s="2">
        <v>1700</v>
      </c>
      <c r="I218" s="2">
        <v>1000</v>
      </c>
      <c r="J218" s="2">
        <v>0.95</v>
      </c>
      <c r="K218" s="2">
        <v>0.7</v>
      </c>
      <c r="L218" s="2">
        <v>0.7</v>
      </c>
      <c r="M218" s="2" t="s">
        <v>834</v>
      </c>
      <c r="N218" s="15">
        <f t="shared" si="3"/>
        <v>0.1</v>
      </c>
    </row>
    <row r="219" spans="1:14" x14ac:dyDescent="0.45">
      <c r="A219" s="2" t="s">
        <v>224</v>
      </c>
      <c r="B219" s="2" t="s">
        <v>306</v>
      </c>
      <c r="C219" s="2">
        <v>3</v>
      </c>
      <c r="D219" s="2" t="s">
        <v>1486</v>
      </c>
      <c r="E219" s="2" t="s">
        <v>1438</v>
      </c>
      <c r="F219" s="2">
        <v>0.08</v>
      </c>
      <c r="G219" s="2">
        <v>0.04</v>
      </c>
      <c r="H219" s="2">
        <v>30</v>
      </c>
      <c r="I219" s="2">
        <v>1452</v>
      </c>
      <c r="J219" s="2">
        <v>0.95</v>
      </c>
      <c r="K219" s="2">
        <v>0.7</v>
      </c>
      <c r="L219" s="2">
        <v>0.7</v>
      </c>
      <c r="M219" s="2" t="s">
        <v>834</v>
      </c>
      <c r="N219" s="15">
        <f t="shared" si="3"/>
        <v>2</v>
      </c>
    </row>
    <row r="220" spans="1:14" x14ac:dyDescent="0.45">
      <c r="A220" s="2" t="s">
        <v>224</v>
      </c>
      <c r="B220" s="2" t="s">
        <v>306</v>
      </c>
      <c r="C220" s="2">
        <v>4</v>
      </c>
      <c r="D220" s="2" t="s">
        <v>1487</v>
      </c>
      <c r="E220" s="2" t="s">
        <v>1444</v>
      </c>
      <c r="F220" s="2">
        <v>0.25</v>
      </c>
      <c r="G220" s="2">
        <v>1.046</v>
      </c>
      <c r="H220" s="2">
        <v>2300</v>
      </c>
      <c r="I220" s="2">
        <v>657</v>
      </c>
      <c r="J220" s="2">
        <v>0.95</v>
      </c>
      <c r="K220" s="2">
        <v>0.7</v>
      </c>
      <c r="L220" s="2">
        <v>0.7</v>
      </c>
      <c r="M220" s="2" t="s">
        <v>834</v>
      </c>
      <c r="N220" s="15">
        <f t="shared" si="3"/>
        <v>0.23900573613766729</v>
      </c>
    </row>
  </sheetData>
  <autoFilter ref="A1:N220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8" customWidth="1"/>
    <col min="2" max="2" width="46" customWidth="1"/>
    <col min="3" max="3" width="30" customWidth="1"/>
    <col min="4" max="4" width="52" customWidth="1"/>
    <col min="5" max="5" width="10" customWidth="1"/>
    <col min="6" max="7" width="8" customWidth="1"/>
    <col min="8" max="9" width="11" customWidth="1"/>
  </cols>
  <sheetData>
    <row r="1" spans="1:9" ht="39.4" x14ac:dyDescent="0.45">
      <c r="A1" s="1" t="s">
        <v>96</v>
      </c>
      <c r="B1" s="1" t="s">
        <v>1493</v>
      </c>
      <c r="C1" s="1" t="s">
        <v>1494</v>
      </c>
      <c r="D1" s="1" t="s">
        <v>1495</v>
      </c>
      <c r="E1" s="1" t="s">
        <v>1496</v>
      </c>
      <c r="F1" s="1" t="s">
        <v>334</v>
      </c>
      <c r="G1" s="1" t="s">
        <v>335</v>
      </c>
      <c r="H1" s="1" t="s">
        <v>1362</v>
      </c>
      <c r="I1" s="1" t="s">
        <v>1497</v>
      </c>
    </row>
    <row r="2" spans="1:9" x14ac:dyDescent="0.45">
      <c r="A2" s="2" t="s">
        <v>122</v>
      </c>
      <c r="B2" s="2" t="s">
        <v>1498</v>
      </c>
      <c r="C2" s="2" t="s">
        <v>1076</v>
      </c>
      <c r="D2" s="2" t="s">
        <v>1499</v>
      </c>
      <c r="E2" s="2"/>
      <c r="F2" s="2"/>
      <c r="G2" s="2"/>
      <c r="H2" s="2">
        <v>23</v>
      </c>
      <c r="I2" s="2">
        <v>0</v>
      </c>
    </row>
    <row r="3" spans="1:9" x14ac:dyDescent="0.45">
      <c r="A3" s="2" t="s">
        <v>122</v>
      </c>
      <c r="B3" s="2" t="s">
        <v>347</v>
      </c>
      <c r="C3" s="2" t="s">
        <v>1500</v>
      </c>
      <c r="D3" s="2" t="s">
        <v>1501</v>
      </c>
      <c r="E3" s="2">
        <v>0.9</v>
      </c>
      <c r="F3" s="2">
        <v>0.67</v>
      </c>
      <c r="G3" s="2">
        <v>0.8</v>
      </c>
      <c r="H3" s="2">
        <v>1</v>
      </c>
      <c r="I3" s="2">
        <v>0</v>
      </c>
    </row>
    <row r="4" spans="1:9" x14ac:dyDescent="0.45">
      <c r="A4" s="2" t="s">
        <v>122</v>
      </c>
      <c r="B4" s="2" t="s">
        <v>353</v>
      </c>
      <c r="C4" s="2" t="s">
        <v>1502</v>
      </c>
      <c r="D4" s="2" t="s">
        <v>1503</v>
      </c>
      <c r="E4" s="2">
        <v>0.9</v>
      </c>
      <c r="F4" s="2">
        <v>0.67</v>
      </c>
      <c r="G4" s="2">
        <v>0.8</v>
      </c>
      <c r="H4" s="2">
        <v>31</v>
      </c>
      <c r="I4" s="2">
        <v>11</v>
      </c>
    </row>
    <row r="5" spans="1:9" x14ac:dyDescent="0.45">
      <c r="A5" s="2" t="s">
        <v>224</v>
      </c>
      <c r="B5" s="2" t="s">
        <v>347</v>
      </c>
      <c r="C5" s="2" t="s">
        <v>1500</v>
      </c>
      <c r="D5" s="2" t="s">
        <v>1501</v>
      </c>
      <c r="E5" s="2">
        <v>0.9</v>
      </c>
      <c r="F5" s="2">
        <v>0.67</v>
      </c>
      <c r="G5" s="2">
        <v>0.8</v>
      </c>
      <c r="H5" s="2">
        <v>2</v>
      </c>
      <c r="I5" s="2">
        <v>1</v>
      </c>
    </row>
    <row r="6" spans="1:9" x14ac:dyDescent="0.45">
      <c r="A6" s="2" t="s">
        <v>224</v>
      </c>
      <c r="B6" s="2" t="s">
        <v>356</v>
      </c>
      <c r="C6" s="2" t="s">
        <v>1500</v>
      </c>
      <c r="D6" s="2" t="s">
        <v>1504</v>
      </c>
      <c r="E6" s="2">
        <v>0.9</v>
      </c>
      <c r="F6" s="2">
        <v>0.67</v>
      </c>
      <c r="G6" s="2">
        <v>0.57999999999999996</v>
      </c>
      <c r="H6" s="2">
        <v>2</v>
      </c>
      <c r="I6" s="2">
        <v>0</v>
      </c>
    </row>
    <row r="7" spans="1:9" x14ac:dyDescent="0.45">
      <c r="A7" s="2" t="s">
        <v>224</v>
      </c>
      <c r="B7" s="2" t="s">
        <v>353</v>
      </c>
      <c r="C7" s="2" t="s">
        <v>1502</v>
      </c>
      <c r="D7" s="2" t="s">
        <v>1503</v>
      </c>
      <c r="E7" s="2">
        <v>0.9</v>
      </c>
      <c r="F7" s="2">
        <v>0.67</v>
      </c>
      <c r="G7" s="2">
        <v>0.8</v>
      </c>
      <c r="H7" s="2">
        <v>12</v>
      </c>
      <c r="I7" s="2">
        <v>1</v>
      </c>
    </row>
    <row r="8" spans="1:9" x14ac:dyDescent="0.45">
      <c r="A8" s="2" t="s">
        <v>224</v>
      </c>
      <c r="B8" s="2" t="s">
        <v>357</v>
      </c>
      <c r="C8" s="2" t="s">
        <v>1502</v>
      </c>
      <c r="D8" s="2" t="s">
        <v>1505</v>
      </c>
      <c r="E8" s="2">
        <v>0.9</v>
      </c>
      <c r="F8" s="2">
        <v>0.67</v>
      </c>
      <c r="G8" s="2">
        <v>0.57999999999999996</v>
      </c>
      <c r="H8" s="2">
        <v>9</v>
      </c>
      <c r="I8" s="2">
        <v>2</v>
      </c>
    </row>
  </sheetData>
  <autoFilter ref="A1:I8" xr:uid="{00000000-0009-0000-0000-00000E000000}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7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12" customWidth="1"/>
    <col min="2" max="2" width="32" customWidth="1"/>
    <col min="3" max="3" width="30" customWidth="1"/>
    <col min="4" max="4" width="9" customWidth="1"/>
    <col min="5" max="5" width="8" customWidth="1"/>
    <col min="6" max="6" width="9" customWidth="1"/>
    <col min="7" max="7" width="15" customWidth="1"/>
    <col min="8" max="8" width="26" customWidth="1"/>
    <col min="9" max="10" width="11" customWidth="1"/>
    <col min="11" max="11" width="70" customWidth="1"/>
  </cols>
  <sheetData>
    <row r="1" spans="1:11" ht="39.4" x14ac:dyDescent="0.45">
      <c r="A1" s="1" t="s">
        <v>1506</v>
      </c>
      <c r="B1" s="1" t="s">
        <v>274</v>
      </c>
      <c r="C1" s="1" t="s">
        <v>1507</v>
      </c>
      <c r="D1" s="1" t="s">
        <v>1508</v>
      </c>
      <c r="E1" s="1" t="s">
        <v>1509</v>
      </c>
      <c r="F1" s="1" t="s">
        <v>1510</v>
      </c>
      <c r="G1" s="1" t="s">
        <v>1511</v>
      </c>
      <c r="H1" s="1" t="s">
        <v>1512</v>
      </c>
      <c r="I1" s="1" t="s">
        <v>1513</v>
      </c>
      <c r="J1" s="1" t="s">
        <v>1514</v>
      </c>
      <c r="K1" s="1" t="s">
        <v>1515</v>
      </c>
    </row>
    <row r="2" spans="1:11" x14ac:dyDescent="0.45">
      <c r="A2" s="2" t="s">
        <v>1516</v>
      </c>
      <c r="B2" s="2" t="s">
        <v>1517</v>
      </c>
      <c r="C2" s="2" t="s">
        <v>226</v>
      </c>
      <c r="D2" s="2">
        <v>18</v>
      </c>
      <c r="E2" s="2">
        <v>18</v>
      </c>
      <c r="F2" s="2">
        <v>0.33</v>
      </c>
      <c r="G2" s="2" t="s">
        <v>1518</v>
      </c>
      <c r="H2" s="2" t="s">
        <v>1519</v>
      </c>
      <c r="I2" s="2">
        <v>0</v>
      </c>
      <c r="J2" s="2">
        <v>2</v>
      </c>
      <c r="K2" s="2"/>
    </row>
    <row r="3" spans="1:11" x14ac:dyDescent="0.45">
      <c r="A3" s="2" t="s">
        <v>1516</v>
      </c>
      <c r="B3" s="2" t="s">
        <v>1517</v>
      </c>
      <c r="C3" s="2" t="s">
        <v>232</v>
      </c>
      <c r="D3" s="2">
        <v>18</v>
      </c>
      <c r="E3" s="2">
        <v>18</v>
      </c>
      <c r="F3" s="2">
        <v>1</v>
      </c>
      <c r="G3" s="2" t="s">
        <v>1518</v>
      </c>
      <c r="H3" s="2" t="s">
        <v>1519</v>
      </c>
      <c r="I3" s="2">
        <v>0</v>
      </c>
      <c r="J3" s="2">
        <v>1</v>
      </c>
      <c r="K3" s="2"/>
    </row>
    <row r="4" spans="1:11" x14ac:dyDescent="0.45">
      <c r="A4" s="2" t="s">
        <v>1516</v>
      </c>
      <c r="B4" s="2" t="s">
        <v>1517</v>
      </c>
      <c r="C4" s="2" t="s">
        <v>229</v>
      </c>
      <c r="D4" s="2">
        <v>18</v>
      </c>
      <c r="E4" s="2">
        <v>18</v>
      </c>
      <c r="F4" s="2">
        <v>0.59</v>
      </c>
      <c r="G4" s="2" t="s">
        <v>1518</v>
      </c>
      <c r="H4" s="2" t="s">
        <v>1519</v>
      </c>
      <c r="I4" s="2">
        <v>0</v>
      </c>
      <c r="J4" s="2">
        <v>1</v>
      </c>
      <c r="K4" s="2"/>
    </row>
    <row r="5" spans="1:11" x14ac:dyDescent="0.45">
      <c r="A5" s="2" t="s">
        <v>1516</v>
      </c>
      <c r="B5" s="2" t="s">
        <v>1517</v>
      </c>
      <c r="C5" s="2" t="s">
        <v>235</v>
      </c>
      <c r="D5" s="2">
        <v>18</v>
      </c>
      <c r="E5" s="2">
        <v>18</v>
      </c>
      <c r="F5" s="2">
        <v>0.47</v>
      </c>
      <c r="G5" s="2" t="s">
        <v>1518</v>
      </c>
      <c r="H5" s="2" t="s">
        <v>1519</v>
      </c>
      <c r="I5" s="2">
        <v>0</v>
      </c>
      <c r="J5" s="2">
        <v>1</v>
      </c>
      <c r="K5" s="2"/>
    </row>
    <row r="6" spans="1:11" x14ac:dyDescent="0.45">
      <c r="A6" s="2" t="s">
        <v>1516</v>
      </c>
      <c r="B6" s="2" t="s">
        <v>1517</v>
      </c>
      <c r="C6" s="2" t="s">
        <v>171</v>
      </c>
      <c r="D6" s="2">
        <v>18</v>
      </c>
      <c r="E6" s="2">
        <v>18</v>
      </c>
      <c r="F6" s="2">
        <v>1.07</v>
      </c>
      <c r="G6" s="2" t="s">
        <v>1518</v>
      </c>
      <c r="H6" s="2" t="s">
        <v>1519</v>
      </c>
      <c r="I6" s="2">
        <v>2</v>
      </c>
      <c r="J6" s="2">
        <v>0</v>
      </c>
      <c r="K6" s="2"/>
    </row>
    <row r="7" spans="1:11" x14ac:dyDescent="0.45">
      <c r="A7" s="2" t="s">
        <v>1516</v>
      </c>
      <c r="B7" s="2" t="s">
        <v>1517</v>
      </c>
      <c r="C7" s="2" t="s">
        <v>204</v>
      </c>
      <c r="D7" s="2">
        <v>18</v>
      </c>
      <c r="E7" s="2">
        <v>18</v>
      </c>
      <c r="F7" s="2">
        <v>0.47</v>
      </c>
      <c r="G7" s="2" t="s">
        <v>1518</v>
      </c>
      <c r="H7" s="2" t="s">
        <v>1519</v>
      </c>
      <c r="I7" s="2">
        <v>1</v>
      </c>
      <c r="J7" s="2">
        <v>0</v>
      </c>
      <c r="K7" s="2"/>
    </row>
    <row r="8" spans="1:11" x14ac:dyDescent="0.45">
      <c r="A8" s="2" t="s">
        <v>1516</v>
      </c>
      <c r="B8" s="2" t="s">
        <v>1517</v>
      </c>
      <c r="C8" s="2" t="s">
        <v>202</v>
      </c>
      <c r="D8" s="2">
        <v>18</v>
      </c>
      <c r="E8" s="2">
        <v>18</v>
      </c>
      <c r="F8" s="2">
        <v>0.39</v>
      </c>
      <c r="G8" s="2" t="s">
        <v>1518</v>
      </c>
      <c r="H8" s="2" t="s">
        <v>1519</v>
      </c>
      <c r="I8" s="2">
        <v>1</v>
      </c>
      <c r="J8" s="2">
        <v>0</v>
      </c>
      <c r="K8" s="2"/>
    </row>
    <row r="9" spans="1:11" x14ac:dyDescent="0.45">
      <c r="A9" s="2" t="s">
        <v>1516</v>
      </c>
      <c r="B9" s="2" t="s">
        <v>1517</v>
      </c>
      <c r="C9" s="2" t="s">
        <v>200</v>
      </c>
      <c r="D9" s="2">
        <v>18</v>
      </c>
      <c r="E9" s="2">
        <v>18</v>
      </c>
      <c r="F9" s="2">
        <v>0.78</v>
      </c>
      <c r="G9" s="2" t="s">
        <v>1518</v>
      </c>
      <c r="H9" s="2" t="s">
        <v>1519</v>
      </c>
      <c r="I9" s="2">
        <v>1</v>
      </c>
      <c r="J9" s="2">
        <v>0</v>
      </c>
      <c r="K9" s="2"/>
    </row>
    <row r="10" spans="1:11" x14ac:dyDescent="0.45">
      <c r="A10" s="2" t="s">
        <v>1516</v>
      </c>
      <c r="B10" s="2" t="s">
        <v>1517</v>
      </c>
      <c r="C10" s="2" t="s">
        <v>196</v>
      </c>
      <c r="D10" s="2">
        <v>18</v>
      </c>
      <c r="E10" s="2">
        <v>18</v>
      </c>
      <c r="F10" s="2">
        <v>0.31</v>
      </c>
      <c r="G10" s="2" t="s">
        <v>1518</v>
      </c>
      <c r="H10" s="2" t="s">
        <v>1519</v>
      </c>
      <c r="I10" s="2">
        <v>1</v>
      </c>
      <c r="J10" s="2">
        <v>0</v>
      </c>
      <c r="K10" s="2"/>
    </row>
    <row r="11" spans="1:11" x14ac:dyDescent="0.45">
      <c r="A11" s="2" t="s">
        <v>1516</v>
      </c>
      <c r="B11" s="2" t="s">
        <v>1517</v>
      </c>
      <c r="C11" s="2" t="s">
        <v>192</v>
      </c>
      <c r="D11" s="2">
        <v>18</v>
      </c>
      <c r="E11" s="2">
        <v>18</v>
      </c>
      <c r="F11" s="2">
        <v>0.44</v>
      </c>
      <c r="G11" s="2" t="s">
        <v>1518</v>
      </c>
      <c r="H11" s="2" t="s">
        <v>1519</v>
      </c>
      <c r="I11" s="2">
        <v>1</v>
      </c>
      <c r="J11" s="2">
        <v>0</v>
      </c>
      <c r="K11" s="2"/>
    </row>
    <row r="12" spans="1:11" x14ac:dyDescent="0.45">
      <c r="A12" s="2" t="s">
        <v>1516</v>
      </c>
      <c r="B12" s="2" t="s">
        <v>1517</v>
      </c>
      <c r="C12" s="2" t="s">
        <v>190</v>
      </c>
      <c r="D12" s="2">
        <v>18</v>
      </c>
      <c r="E12" s="2">
        <v>18</v>
      </c>
      <c r="F12" s="2">
        <v>0.77</v>
      </c>
      <c r="G12" s="2" t="s">
        <v>1518</v>
      </c>
      <c r="H12" s="2" t="s">
        <v>1519</v>
      </c>
      <c r="I12" s="2">
        <v>1</v>
      </c>
      <c r="J12" s="2">
        <v>0</v>
      </c>
      <c r="K12" s="2"/>
    </row>
    <row r="13" spans="1:11" x14ac:dyDescent="0.45">
      <c r="A13" s="2" t="s">
        <v>1516</v>
      </c>
      <c r="B13" s="2" t="s">
        <v>1517</v>
      </c>
      <c r="C13" s="2" t="s">
        <v>221</v>
      </c>
      <c r="D13" s="2">
        <v>18</v>
      </c>
      <c r="E13" s="2">
        <v>18</v>
      </c>
      <c r="F13" s="2">
        <v>0.75</v>
      </c>
      <c r="G13" s="2" t="s">
        <v>1518</v>
      </c>
      <c r="H13" s="2" t="s">
        <v>1519</v>
      </c>
      <c r="I13" s="2">
        <v>1</v>
      </c>
      <c r="J13" s="2">
        <v>0</v>
      </c>
      <c r="K13" s="2"/>
    </row>
    <row r="14" spans="1:11" x14ac:dyDescent="0.45">
      <c r="A14" s="2" t="s">
        <v>1516</v>
      </c>
      <c r="B14" s="2" t="s">
        <v>1517</v>
      </c>
      <c r="C14" s="2" t="s">
        <v>219</v>
      </c>
      <c r="D14" s="2">
        <v>18</v>
      </c>
      <c r="E14" s="2">
        <v>18</v>
      </c>
      <c r="F14" s="2">
        <v>0.64</v>
      </c>
      <c r="G14" s="2" t="s">
        <v>1518</v>
      </c>
      <c r="H14" s="2" t="s">
        <v>1519</v>
      </c>
      <c r="I14" s="2">
        <v>1</v>
      </c>
      <c r="J14" s="2">
        <v>0</v>
      </c>
      <c r="K14" s="2"/>
    </row>
    <row r="15" spans="1:11" x14ac:dyDescent="0.45">
      <c r="A15" s="2" t="s">
        <v>1516</v>
      </c>
      <c r="B15" s="2" t="s">
        <v>1517</v>
      </c>
      <c r="C15" s="2" t="s">
        <v>198</v>
      </c>
      <c r="D15" s="2">
        <v>18</v>
      </c>
      <c r="E15" s="2">
        <v>18</v>
      </c>
      <c r="F15" s="2">
        <v>0.86</v>
      </c>
      <c r="G15" s="2" t="s">
        <v>1518</v>
      </c>
      <c r="H15" s="2" t="s">
        <v>1519</v>
      </c>
      <c r="I15" s="2">
        <v>1</v>
      </c>
      <c r="J15" s="2">
        <v>0</v>
      </c>
      <c r="K15" s="2"/>
    </row>
    <row r="16" spans="1:11" x14ac:dyDescent="0.45">
      <c r="A16" s="2" t="s">
        <v>1516</v>
      </c>
      <c r="B16" s="2" t="s">
        <v>1517</v>
      </c>
      <c r="C16" s="2" t="s">
        <v>217</v>
      </c>
      <c r="D16" s="2">
        <v>18</v>
      </c>
      <c r="E16" s="2">
        <v>18</v>
      </c>
      <c r="F16" s="2">
        <v>0.76</v>
      </c>
      <c r="G16" s="2" t="s">
        <v>1518</v>
      </c>
      <c r="H16" s="2" t="s">
        <v>1519</v>
      </c>
      <c r="I16" s="2">
        <v>1</v>
      </c>
      <c r="J16" s="2">
        <v>0</v>
      </c>
      <c r="K16" s="2"/>
    </row>
    <row r="17" spans="1:11" x14ac:dyDescent="0.45">
      <c r="A17" s="2" t="s">
        <v>1516</v>
      </c>
      <c r="B17" s="2" t="s">
        <v>1517</v>
      </c>
      <c r="C17" s="2" t="s">
        <v>215</v>
      </c>
      <c r="D17" s="2">
        <v>18</v>
      </c>
      <c r="E17" s="2">
        <v>18</v>
      </c>
      <c r="F17" s="2">
        <v>0.37</v>
      </c>
      <c r="G17" s="2" t="s">
        <v>1518</v>
      </c>
      <c r="H17" s="2" t="s">
        <v>1519</v>
      </c>
      <c r="I17" s="2">
        <v>1</v>
      </c>
      <c r="J17" s="2">
        <v>0</v>
      </c>
      <c r="K17" s="2"/>
    </row>
    <row r="18" spans="1:11" x14ac:dyDescent="0.45">
      <c r="A18" s="2" t="s">
        <v>1516</v>
      </c>
      <c r="B18" s="2" t="s">
        <v>1517</v>
      </c>
      <c r="C18" s="2" t="s">
        <v>1520</v>
      </c>
      <c r="D18" s="2">
        <v>18</v>
      </c>
      <c r="E18" s="2">
        <v>18</v>
      </c>
      <c r="F18" s="2">
        <v>0.93</v>
      </c>
      <c r="G18" s="2" t="s">
        <v>1518</v>
      </c>
      <c r="H18" s="2" t="s">
        <v>1519</v>
      </c>
      <c r="I18" s="2">
        <v>0</v>
      </c>
      <c r="J18" s="2">
        <v>0</v>
      </c>
      <c r="K18" s="2"/>
    </row>
    <row r="19" spans="1:11" x14ac:dyDescent="0.45">
      <c r="A19" s="2" t="s">
        <v>1516</v>
      </c>
      <c r="B19" s="2" t="s">
        <v>1517</v>
      </c>
      <c r="C19" s="2" t="s">
        <v>187</v>
      </c>
      <c r="D19" s="2">
        <v>18</v>
      </c>
      <c r="E19" s="2">
        <v>18</v>
      </c>
      <c r="F19" s="2">
        <v>0.56999999999999995</v>
      </c>
      <c r="G19" s="2" t="s">
        <v>1518</v>
      </c>
      <c r="H19" s="2" t="s">
        <v>1519</v>
      </c>
      <c r="I19" s="2">
        <v>1</v>
      </c>
      <c r="J19" s="2">
        <v>0</v>
      </c>
      <c r="K19" s="2"/>
    </row>
    <row r="20" spans="1:11" x14ac:dyDescent="0.45">
      <c r="A20" s="2" t="s">
        <v>1516</v>
      </c>
      <c r="B20" s="2" t="s">
        <v>1517</v>
      </c>
      <c r="C20" s="2" t="s">
        <v>179</v>
      </c>
      <c r="D20" s="2">
        <v>18</v>
      </c>
      <c r="E20" s="2">
        <v>18</v>
      </c>
      <c r="F20" s="2">
        <v>0.66</v>
      </c>
      <c r="G20" s="2" t="s">
        <v>1518</v>
      </c>
      <c r="H20" s="2" t="s">
        <v>1519</v>
      </c>
      <c r="I20" s="2">
        <v>1</v>
      </c>
      <c r="J20" s="2">
        <v>0</v>
      </c>
      <c r="K20" s="2"/>
    </row>
    <row r="21" spans="1:11" x14ac:dyDescent="0.45">
      <c r="A21" s="2" t="s">
        <v>1516</v>
      </c>
      <c r="B21" s="2" t="s">
        <v>1517</v>
      </c>
      <c r="C21" s="2" t="s">
        <v>181</v>
      </c>
      <c r="D21" s="2">
        <v>18</v>
      </c>
      <c r="E21" s="2">
        <v>18</v>
      </c>
      <c r="F21" s="2">
        <v>0.15</v>
      </c>
      <c r="G21" s="2" t="s">
        <v>1518</v>
      </c>
      <c r="H21" s="2" t="s">
        <v>1519</v>
      </c>
      <c r="I21" s="2">
        <v>1</v>
      </c>
      <c r="J21" s="2">
        <v>0</v>
      </c>
      <c r="K21" s="2"/>
    </row>
    <row r="22" spans="1:11" x14ac:dyDescent="0.45">
      <c r="A22" s="2" t="s">
        <v>1516</v>
      </c>
      <c r="B22" s="2" t="s">
        <v>1517</v>
      </c>
      <c r="C22" s="2" t="s">
        <v>185</v>
      </c>
      <c r="D22" s="2">
        <v>18</v>
      </c>
      <c r="E22" s="2">
        <v>18</v>
      </c>
      <c r="F22" s="2">
        <v>0.66</v>
      </c>
      <c r="G22" s="2" t="s">
        <v>1518</v>
      </c>
      <c r="H22" s="2" t="s">
        <v>1519</v>
      </c>
      <c r="I22" s="2">
        <v>1</v>
      </c>
      <c r="J22" s="2">
        <v>0</v>
      </c>
      <c r="K22" s="2"/>
    </row>
    <row r="23" spans="1:11" x14ac:dyDescent="0.45">
      <c r="A23" s="2" t="s">
        <v>1516</v>
      </c>
      <c r="B23" s="2" t="s">
        <v>1517</v>
      </c>
      <c r="C23" s="2" t="s">
        <v>183</v>
      </c>
      <c r="D23" s="2">
        <v>18</v>
      </c>
      <c r="E23" s="2">
        <v>18</v>
      </c>
      <c r="F23" s="2">
        <v>0.35</v>
      </c>
      <c r="G23" s="2" t="s">
        <v>1518</v>
      </c>
      <c r="H23" s="2" t="s">
        <v>1519</v>
      </c>
      <c r="I23" s="2">
        <v>1</v>
      </c>
      <c r="J23" s="2">
        <v>0</v>
      </c>
      <c r="K23" s="2"/>
    </row>
    <row r="24" spans="1:11" x14ac:dyDescent="0.45">
      <c r="A24" s="2" t="s">
        <v>1516</v>
      </c>
      <c r="B24" s="2" t="s">
        <v>1517</v>
      </c>
      <c r="C24" s="2" t="s">
        <v>125</v>
      </c>
      <c r="D24" s="2">
        <v>1</v>
      </c>
      <c r="E24" s="2">
        <v>1</v>
      </c>
      <c r="F24" s="2">
        <v>0</v>
      </c>
      <c r="G24" s="2" t="s">
        <v>1518</v>
      </c>
      <c r="H24" s="2" t="s">
        <v>1519</v>
      </c>
      <c r="I24" s="2">
        <v>47</v>
      </c>
      <c r="J24" s="2">
        <v>15</v>
      </c>
      <c r="K24" s="2"/>
    </row>
    <row r="25" spans="1:11" x14ac:dyDescent="0.45">
      <c r="A25" s="2" t="s">
        <v>1521</v>
      </c>
      <c r="B25" s="2" t="s">
        <v>1522</v>
      </c>
      <c r="C25" s="2" t="s">
        <v>239</v>
      </c>
      <c r="D25" s="2">
        <v>18</v>
      </c>
      <c r="E25" s="2">
        <v>18</v>
      </c>
      <c r="F25" s="2">
        <v>0.33</v>
      </c>
      <c r="G25" s="2" t="s">
        <v>1518</v>
      </c>
      <c r="H25" s="2" t="s">
        <v>1523</v>
      </c>
      <c r="I25" s="2">
        <v>0</v>
      </c>
      <c r="J25" s="2">
        <v>1</v>
      </c>
      <c r="K25" s="2"/>
    </row>
    <row r="26" spans="1:11" x14ac:dyDescent="0.45">
      <c r="A26" s="2" t="s">
        <v>1521</v>
      </c>
      <c r="B26" s="2" t="s">
        <v>1522</v>
      </c>
      <c r="C26" s="2" t="s">
        <v>234</v>
      </c>
      <c r="D26" s="2">
        <v>18</v>
      </c>
      <c r="E26" s="2">
        <v>18</v>
      </c>
      <c r="F26" s="2">
        <v>1</v>
      </c>
      <c r="G26" s="2" t="s">
        <v>1518</v>
      </c>
      <c r="H26" s="2" t="s">
        <v>1523</v>
      </c>
      <c r="I26" s="2">
        <v>0</v>
      </c>
      <c r="J26" s="2">
        <v>1</v>
      </c>
      <c r="K26" s="2"/>
    </row>
    <row r="27" spans="1:11" x14ac:dyDescent="0.45">
      <c r="A27" s="2" t="s">
        <v>1521</v>
      </c>
      <c r="B27" s="2" t="s">
        <v>1522</v>
      </c>
      <c r="C27" s="2" t="s">
        <v>231</v>
      </c>
      <c r="D27" s="2">
        <v>18</v>
      </c>
      <c r="E27" s="2">
        <v>18</v>
      </c>
      <c r="F27" s="2">
        <v>0.59</v>
      </c>
      <c r="G27" s="2" t="s">
        <v>1518</v>
      </c>
      <c r="H27" s="2" t="s">
        <v>1523</v>
      </c>
      <c r="I27" s="2">
        <v>0</v>
      </c>
      <c r="J27" s="2">
        <v>1</v>
      </c>
      <c r="K27" s="2"/>
    </row>
    <row r="28" spans="1:11" x14ac:dyDescent="0.45">
      <c r="A28" s="2" t="s">
        <v>1521</v>
      </c>
      <c r="B28" s="2" t="s">
        <v>1522</v>
      </c>
      <c r="C28" s="2" t="s">
        <v>237</v>
      </c>
      <c r="D28" s="2">
        <v>18</v>
      </c>
      <c r="E28" s="2">
        <v>18</v>
      </c>
      <c r="F28" s="2">
        <v>0.47</v>
      </c>
      <c r="G28" s="2" t="s">
        <v>1518</v>
      </c>
      <c r="H28" s="2" t="s">
        <v>1523</v>
      </c>
      <c r="I28" s="2">
        <v>0</v>
      </c>
      <c r="J28" s="2">
        <v>1</v>
      </c>
      <c r="K28" s="2"/>
    </row>
    <row r="29" spans="1:11" x14ac:dyDescent="0.45">
      <c r="A29" s="2" t="s">
        <v>1521</v>
      </c>
      <c r="B29" s="2" t="s">
        <v>1522</v>
      </c>
      <c r="C29" s="2" t="s">
        <v>1524</v>
      </c>
      <c r="D29" s="2">
        <v>18</v>
      </c>
      <c r="E29" s="2">
        <v>18</v>
      </c>
      <c r="F29" s="2">
        <v>1.07</v>
      </c>
      <c r="G29" s="2" t="s">
        <v>1518</v>
      </c>
      <c r="H29" s="2" t="s">
        <v>1523</v>
      </c>
      <c r="I29" s="2">
        <v>0</v>
      </c>
      <c r="J29" s="2">
        <v>0</v>
      </c>
      <c r="K29" s="2"/>
    </row>
    <row r="30" spans="1:11" x14ac:dyDescent="0.45">
      <c r="A30" s="2" t="s">
        <v>1521</v>
      </c>
      <c r="B30" s="2" t="s">
        <v>1522</v>
      </c>
      <c r="C30" s="2" t="s">
        <v>1525</v>
      </c>
      <c r="D30" s="2">
        <v>18</v>
      </c>
      <c r="E30" s="2">
        <v>18</v>
      </c>
      <c r="F30" s="2">
        <v>0.47</v>
      </c>
      <c r="G30" s="2" t="s">
        <v>1518</v>
      </c>
      <c r="H30" s="2" t="s">
        <v>1523</v>
      </c>
      <c r="I30" s="2">
        <v>0</v>
      </c>
      <c r="J30" s="2">
        <v>0</v>
      </c>
      <c r="K30" s="2"/>
    </row>
    <row r="31" spans="1:11" x14ac:dyDescent="0.45">
      <c r="A31" s="2" t="s">
        <v>1521</v>
      </c>
      <c r="B31" s="2" t="s">
        <v>1522</v>
      </c>
      <c r="C31" s="2" t="s">
        <v>1526</v>
      </c>
      <c r="D31" s="2">
        <v>18</v>
      </c>
      <c r="E31" s="2">
        <v>18</v>
      </c>
      <c r="F31" s="2">
        <v>0.39</v>
      </c>
      <c r="G31" s="2" t="s">
        <v>1518</v>
      </c>
      <c r="H31" s="2" t="s">
        <v>1523</v>
      </c>
      <c r="I31" s="2">
        <v>0</v>
      </c>
      <c r="J31" s="2">
        <v>0</v>
      </c>
      <c r="K31" s="2"/>
    </row>
    <row r="32" spans="1:11" x14ac:dyDescent="0.45">
      <c r="A32" s="2" t="s">
        <v>1521</v>
      </c>
      <c r="B32" s="2" t="s">
        <v>1522</v>
      </c>
      <c r="C32" s="2" t="s">
        <v>1527</v>
      </c>
      <c r="D32" s="2">
        <v>18</v>
      </c>
      <c r="E32" s="2">
        <v>18</v>
      </c>
      <c r="F32" s="2">
        <v>0.78</v>
      </c>
      <c r="G32" s="2" t="s">
        <v>1518</v>
      </c>
      <c r="H32" s="2" t="s">
        <v>1523</v>
      </c>
      <c r="I32" s="2">
        <v>0</v>
      </c>
      <c r="J32" s="2">
        <v>0</v>
      </c>
      <c r="K32" s="2"/>
    </row>
    <row r="33" spans="1:11" x14ac:dyDescent="0.45">
      <c r="A33" s="2" t="s">
        <v>1521</v>
      </c>
      <c r="B33" s="2" t="s">
        <v>1522</v>
      </c>
      <c r="C33" s="2" t="s">
        <v>1528</v>
      </c>
      <c r="D33" s="2">
        <v>18</v>
      </c>
      <c r="E33" s="2">
        <v>18</v>
      </c>
      <c r="F33" s="2">
        <v>0.31</v>
      </c>
      <c r="G33" s="2" t="s">
        <v>1518</v>
      </c>
      <c r="H33" s="2" t="s">
        <v>1523</v>
      </c>
      <c r="I33" s="2">
        <v>0</v>
      </c>
      <c r="J33" s="2">
        <v>0</v>
      </c>
      <c r="K33" s="2"/>
    </row>
    <row r="34" spans="1:11" x14ac:dyDescent="0.45">
      <c r="A34" s="2" t="s">
        <v>1521</v>
      </c>
      <c r="B34" s="2" t="s">
        <v>1522</v>
      </c>
      <c r="C34" s="2" t="s">
        <v>1529</v>
      </c>
      <c r="D34" s="2">
        <v>18</v>
      </c>
      <c r="E34" s="2">
        <v>18</v>
      </c>
      <c r="F34" s="2">
        <v>0.44</v>
      </c>
      <c r="G34" s="2" t="s">
        <v>1518</v>
      </c>
      <c r="H34" s="2" t="s">
        <v>1523</v>
      </c>
      <c r="I34" s="2">
        <v>0</v>
      </c>
      <c r="J34" s="2">
        <v>0</v>
      </c>
      <c r="K34" s="2"/>
    </row>
    <row r="35" spans="1:11" x14ac:dyDescent="0.45">
      <c r="A35" s="2" t="s">
        <v>1521</v>
      </c>
      <c r="B35" s="2" t="s">
        <v>1522</v>
      </c>
      <c r="C35" s="2" t="s">
        <v>1530</v>
      </c>
      <c r="D35" s="2">
        <v>18</v>
      </c>
      <c r="E35" s="2">
        <v>18</v>
      </c>
      <c r="F35" s="2">
        <v>0.77</v>
      </c>
      <c r="G35" s="2" t="s">
        <v>1518</v>
      </c>
      <c r="H35" s="2" t="s">
        <v>1523</v>
      </c>
      <c r="I35" s="2">
        <v>0</v>
      </c>
      <c r="J35" s="2">
        <v>0</v>
      </c>
      <c r="K35" s="2"/>
    </row>
    <row r="36" spans="1:11" x14ac:dyDescent="0.45">
      <c r="A36" s="2" t="s">
        <v>1521</v>
      </c>
      <c r="B36" s="2" t="s">
        <v>1522</v>
      </c>
      <c r="C36" s="2" t="s">
        <v>1531</v>
      </c>
      <c r="D36" s="2">
        <v>18</v>
      </c>
      <c r="E36" s="2">
        <v>18</v>
      </c>
      <c r="F36" s="2">
        <v>0.75</v>
      </c>
      <c r="G36" s="2" t="s">
        <v>1518</v>
      </c>
      <c r="H36" s="2" t="s">
        <v>1523</v>
      </c>
      <c r="I36" s="2">
        <v>0</v>
      </c>
      <c r="J36" s="2">
        <v>0</v>
      </c>
      <c r="K36" s="2"/>
    </row>
    <row r="37" spans="1:11" x14ac:dyDescent="0.45">
      <c r="A37" s="2" t="s">
        <v>1521</v>
      </c>
      <c r="B37" s="2" t="s">
        <v>1522</v>
      </c>
      <c r="C37" s="2" t="s">
        <v>1532</v>
      </c>
      <c r="D37" s="2">
        <v>18</v>
      </c>
      <c r="E37" s="2">
        <v>18</v>
      </c>
      <c r="F37" s="2">
        <v>0.64</v>
      </c>
      <c r="G37" s="2" t="s">
        <v>1518</v>
      </c>
      <c r="H37" s="2" t="s">
        <v>1523</v>
      </c>
      <c r="I37" s="2">
        <v>0</v>
      </c>
      <c r="J37" s="2">
        <v>0</v>
      </c>
      <c r="K37" s="2"/>
    </row>
    <row r="38" spans="1:11" x14ac:dyDescent="0.45">
      <c r="A38" s="2" t="s">
        <v>1521</v>
      </c>
      <c r="B38" s="2" t="s">
        <v>1522</v>
      </c>
      <c r="C38" s="2" t="s">
        <v>1533</v>
      </c>
      <c r="D38" s="2">
        <v>18</v>
      </c>
      <c r="E38" s="2">
        <v>18</v>
      </c>
      <c r="F38" s="2">
        <v>0.86</v>
      </c>
      <c r="G38" s="2" t="s">
        <v>1518</v>
      </c>
      <c r="H38" s="2" t="s">
        <v>1523</v>
      </c>
      <c r="I38" s="2">
        <v>0</v>
      </c>
      <c r="J38" s="2">
        <v>0</v>
      </c>
      <c r="K38" s="2"/>
    </row>
    <row r="39" spans="1:11" x14ac:dyDescent="0.45">
      <c r="A39" s="2" t="s">
        <v>1521</v>
      </c>
      <c r="B39" s="2" t="s">
        <v>1522</v>
      </c>
      <c r="C39" s="2" t="s">
        <v>1534</v>
      </c>
      <c r="D39" s="2">
        <v>18</v>
      </c>
      <c r="E39" s="2">
        <v>18</v>
      </c>
      <c r="F39" s="2">
        <v>0.76</v>
      </c>
      <c r="G39" s="2" t="s">
        <v>1518</v>
      </c>
      <c r="H39" s="2" t="s">
        <v>1523</v>
      </c>
      <c r="I39" s="2">
        <v>0</v>
      </c>
      <c r="J39" s="2">
        <v>0</v>
      </c>
      <c r="K39" s="2"/>
    </row>
    <row r="40" spans="1:11" x14ac:dyDescent="0.45">
      <c r="A40" s="2" t="s">
        <v>1521</v>
      </c>
      <c r="B40" s="2" t="s">
        <v>1522</v>
      </c>
      <c r="C40" s="2" t="s">
        <v>1535</v>
      </c>
      <c r="D40" s="2">
        <v>18</v>
      </c>
      <c r="E40" s="2">
        <v>18</v>
      </c>
      <c r="F40" s="2">
        <v>0.37</v>
      </c>
      <c r="G40" s="2" t="s">
        <v>1518</v>
      </c>
      <c r="H40" s="2" t="s">
        <v>1523</v>
      </c>
      <c r="I40" s="2">
        <v>0</v>
      </c>
      <c r="J40" s="2">
        <v>0</v>
      </c>
      <c r="K40" s="2"/>
    </row>
    <row r="41" spans="1:11" x14ac:dyDescent="0.45">
      <c r="A41" s="2" t="s">
        <v>1521</v>
      </c>
      <c r="B41" s="2" t="s">
        <v>1522</v>
      </c>
      <c r="C41" s="2" t="s">
        <v>1536</v>
      </c>
      <c r="D41" s="2">
        <v>18</v>
      </c>
      <c r="E41" s="2">
        <v>18</v>
      </c>
      <c r="F41" s="2">
        <v>0.93</v>
      </c>
      <c r="G41" s="2" t="s">
        <v>1518</v>
      </c>
      <c r="H41" s="2" t="s">
        <v>1523</v>
      </c>
      <c r="I41" s="2">
        <v>0</v>
      </c>
      <c r="J41" s="2">
        <v>0</v>
      </c>
      <c r="K41" s="2"/>
    </row>
    <row r="42" spans="1:11" x14ac:dyDescent="0.45">
      <c r="A42" s="2" t="s">
        <v>1521</v>
      </c>
      <c r="B42" s="2" t="s">
        <v>1522</v>
      </c>
      <c r="C42" s="2" t="s">
        <v>1537</v>
      </c>
      <c r="D42" s="2">
        <v>18</v>
      </c>
      <c r="E42" s="2">
        <v>18</v>
      </c>
      <c r="F42" s="2">
        <v>0.56999999999999995</v>
      </c>
      <c r="G42" s="2" t="s">
        <v>1518</v>
      </c>
      <c r="H42" s="2" t="s">
        <v>1523</v>
      </c>
      <c r="I42" s="2">
        <v>0</v>
      </c>
      <c r="J42" s="2">
        <v>0</v>
      </c>
      <c r="K42" s="2"/>
    </row>
    <row r="43" spans="1:11" x14ac:dyDescent="0.45">
      <c r="A43" s="2" t="s">
        <v>1521</v>
      </c>
      <c r="B43" s="2" t="s">
        <v>1522</v>
      </c>
      <c r="C43" s="2" t="s">
        <v>1538</v>
      </c>
      <c r="D43" s="2">
        <v>18</v>
      </c>
      <c r="E43" s="2">
        <v>18</v>
      </c>
      <c r="F43" s="2">
        <v>0.66</v>
      </c>
      <c r="G43" s="2" t="s">
        <v>1518</v>
      </c>
      <c r="H43" s="2" t="s">
        <v>1523</v>
      </c>
      <c r="I43" s="2">
        <v>0</v>
      </c>
      <c r="J43" s="2">
        <v>0</v>
      </c>
      <c r="K43" s="2"/>
    </row>
    <row r="44" spans="1:11" x14ac:dyDescent="0.45">
      <c r="A44" s="2" t="s">
        <v>1521</v>
      </c>
      <c r="B44" s="2" t="s">
        <v>1522</v>
      </c>
      <c r="C44" s="2" t="s">
        <v>1539</v>
      </c>
      <c r="D44" s="2">
        <v>18</v>
      </c>
      <c r="E44" s="2">
        <v>18</v>
      </c>
      <c r="F44" s="2">
        <v>0.15</v>
      </c>
      <c r="G44" s="2" t="s">
        <v>1518</v>
      </c>
      <c r="H44" s="2" t="s">
        <v>1523</v>
      </c>
      <c r="I44" s="2">
        <v>0</v>
      </c>
      <c r="J44" s="2">
        <v>0</v>
      </c>
      <c r="K44" s="2"/>
    </row>
    <row r="45" spans="1:11" x14ac:dyDescent="0.45">
      <c r="A45" s="2" t="s">
        <v>1521</v>
      </c>
      <c r="B45" s="2" t="s">
        <v>1522</v>
      </c>
      <c r="C45" s="2" t="s">
        <v>1540</v>
      </c>
      <c r="D45" s="2">
        <v>18</v>
      </c>
      <c r="E45" s="2">
        <v>18</v>
      </c>
      <c r="F45" s="2">
        <v>0.66</v>
      </c>
      <c r="G45" s="2" t="s">
        <v>1518</v>
      </c>
      <c r="H45" s="2" t="s">
        <v>1523</v>
      </c>
      <c r="I45" s="2">
        <v>0</v>
      </c>
      <c r="J45" s="2">
        <v>0</v>
      </c>
      <c r="K45" s="2"/>
    </row>
    <row r="46" spans="1:11" x14ac:dyDescent="0.45">
      <c r="A46" s="2" t="s">
        <v>1521</v>
      </c>
      <c r="B46" s="2" t="s">
        <v>1522</v>
      </c>
      <c r="C46" s="2" t="s">
        <v>1541</v>
      </c>
      <c r="D46" s="2">
        <v>18</v>
      </c>
      <c r="E46" s="2">
        <v>18</v>
      </c>
      <c r="F46" s="2">
        <v>0.35</v>
      </c>
      <c r="G46" s="2" t="s">
        <v>1518</v>
      </c>
      <c r="H46" s="2" t="s">
        <v>1523</v>
      </c>
      <c r="I46" s="2">
        <v>0</v>
      </c>
      <c r="J46" s="2">
        <v>0</v>
      </c>
      <c r="K46" s="2"/>
    </row>
    <row r="47" spans="1:11" x14ac:dyDescent="0.45">
      <c r="A47" s="2" t="s">
        <v>1521</v>
      </c>
      <c r="B47" s="2" t="s">
        <v>1522</v>
      </c>
      <c r="C47" s="2" t="s">
        <v>149</v>
      </c>
      <c r="D47" s="2">
        <v>1</v>
      </c>
      <c r="E47" s="2">
        <v>1</v>
      </c>
      <c r="F47" s="2">
        <v>0.05</v>
      </c>
      <c r="G47" s="2" t="s">
        <v>1518</v>
      </c>
      <c r="H47" s="2" t="s">
        <v>1523</v>
      </c>
      <c r="I47" s="2">
        <v>1</v>
      </c>
      <c r="J47" s="2">
        <v>5</v>
      </c>
      <c r="K47" s="2"/>
    </row>
    <row r="48" spans="1:11" x14ac:dyDescent="0.45">
      <c r="A48" s="2" t="s">
        <v>1542</v>
      </c>
      <c r="B48" s="2" t="s">
        <v>1543</v>
      </c>
      <c r="C48" s="2" t="s">
        <v>238</v>
      </c>
      <c r="D48" s="2">
        <v>18</v>
      </c>
      <c r="E48" s="2">
        <v>18</v>
      </c>
      <c r="F48" s="2">
        <v>0.33</v>
      </c>
      <c r="G48" s="2" t="s">
        <v>1518</v>
      </c>
      <c r="H48" s="2" t="s">
        <v>1544</v>
      </c>
      <c r="I48" s="2">
        <v>0</v>
      </c>
      <c r="J48" s="2">
        <v>1</v>
      </c>
      <c r="K48" s="2"/>
    </row>
    <row r="49" spans="1:11" x14ac:dyDescent="0.45">
      <c r="A49" s="2" t="s">
        <v>1542</v>
      </c>
      <c r="B49" s="2" t="s">
        <v>1543</v>
      </c>
      <c r="C49" s="2" t="s">
        <v>233</v>
      </c>
      <c r="D49" s="2">
        <v>18</v>
      </c>
      <c r="E49" s="2">
        <v>18</v>
      </c>
      <c r="F49" s="2">
        <v>1</v>
      </c>
      <c r="G49" s="2" t="s">
        <v>1518</v>
      </c>
      <c r="H49" s="2" t="s">
        <v>1544</v>
      </c>
      <c r="I49" s="2">
        <v>0</v>
      </c>
      <c r="J49" s="2">
        <v>1</v>
      </c>
      <c r="K49" s="2"/>
    </row>
    <row r="50" spans="1:11" x14ac:dyDescent="0.45">
      <c r="A50" s="2" t="s">
        <v>1542</v>
      </c>
      <c r="B50" s="2" t="s">
        <v>1543</v>
      </c>
      <c r="C50" s="2" t="s">
        <v>230</v>
      </c>
      <c r="D50" s="2">
        <v>18</v>
      </c>
      <c r="E50" s="2">
        <v>18</v>
      </c>
      <c r="F50" s="2">
        <v>0.59</v>
      </c>
      <c r="G50" s="2" t="s">
        <v>1518</v>
      </c>
      <c r="H50" s="2" t="s">
        <v>1544</v>
      </c>
      <c r="I50" s="2">
        <v>0</v>
      </c>
      <c r="J50" s="2">
        <v>1</v>
      </c>
      <c r="K50" s="2"/>
    </row>
    <row r="51" spans="1:11" x14ac:dyDescent="0.45">
      <c r="A51" s="2" t="s">
        <v>1542</v>
      </c>
      <c r="B51" s="2" t="s">
        <v>1543</v>
      </c>
      <c r="C51" s="2" t="s">
        <v>236</v>
      </c>
      <c r="D51" s="2">
        <v>18</v>
      </c>
      <c r="E51" s="2">
        <v>18</v>
      </c>
      <c r="F51" s="2">
        <v>0.47</v>
      </c>
      <c r="G51" s="2" t="s">
        <v>1518</v>
      </c>
      <c r="H51" s="2" t="s">
        <v>1544</v>
      </c>
      <c r="I51" s="2">
        <v>0</v>
      </c>
      <c r="J51" s="2">
        <v>1</v>
      </c>
      <c r="K51" s="2"/>
    </row>
    <row r="52" spans="1:11" x14ac:dyDescent="0.45">
      <c r="A52" s="2" t="s">
        <v>1542</v>
      </c>
      <c r="B52" s="2" t="s">
        <v>1543</v>
      </c>
      <c r="C52" s="2" t="s">
        <v>1545</v>
      </c>
      <c r="D52" s="2">
        <v>18</v>
      </c>
      <c r="E52" s="2">
        <v>18</v>
      </c>
      <c r="F52" s="2">
        <v>1.07</v>
      </c>
      <c r="G52" s="2" t="s">
        <v>1518</v>
      </c>
      <c r="H52" s="2" t="s">
        <v>1544</v>
      </c>
      <c r="I52" s="2">
        <v>0</v>
      </c>
      <c r="J52" s="2">
        <v>0</v>
      </c>
      <c r="K52" s="2"/>
    </row>
    <row r="53" spans="1:11" x14ac:dyDescent="0.45">
      <c r="A53" s="2" t="s">
        <v>1542</v>
      </c>
      <c r="B53" s="2" t="s">
        <v>1543</v>
      </c>
      <c r="C53" s="2" t="s">
        <v>1546</v>
      </c>
      <c r="D53" s="2">
        <v>18</v>
      </c>
      <c r="E53" s="2">
        <v>18</v>
      </c>
      <c r="F53" s="2">
        <v>0.47</v>
      </c>
      <c r="G53" s="2" t="s">
        <v>1518</v>
      </c>
      <c r="H53" s="2" t="s">
        <v>1544</v>
      </c>
      <c r="I53" s="2">
        <v>0</v>
      </c>
      <c r="J53" s="2">
        <v>0</v>
      </c>
      <c r="K53" s="2"/>
    </row>
    <row r="54" spans="1:11" x14ac:dyDescent="0.45">
      <c r="A54" s="2" t="s">
        <v>1542</v>
      </c>
      <c r="B54" s="2" t="s">
        <v>1543</v>
      </c>
      <c r="C54" s="2" t="s">
        <v>1547</v>
      </c>
      <c r="D54" s="2">
        <v>18</v>
      </c>
      <c r="E54" s="2">
        <v>18</v>
      </c>
      <c r="F54" s="2">
        <v>0.39</v>
      </c>
      <c r="G54" s="2" t="s">
        <v>1518</v>
      </c>
      <c r="H54" s="2" t="s">
        <v>1544</v>
      </c>
      <c r="I54" s="2">
        <v>0</v>
      </c>
      <c r="J54" s="2">
        <v>0</v>
      </c>
      <c r="K54" s="2"/>
    </row>
    <row r="55" spans="1:11" x14ac:dyDescent="0.45">
      <c r="A55" s="2" t="s">
        <v>1542</v>
      </c>
      <c r="B55" s="2" t="s">
        <v>1543</v>
      </c>
      <c r="C55" s="2" t="s">
        <v>1548</v>
      </c>
      <c r="D55" s="2">
        <v>18</v>
      </c>
      <c r="E55" s="2">
        <v>18</v>
      </c>
      <c r="F55" s="2">
        <v>0.78</v>
      </c>
      <c r="G55" s="2" t="s">
        <v>1518</v>
      </c>
      <c r="H55" s="2" t="s">
        <v>1544</v>
      </c>
      <c r="I55" s="2">
        <v>0</v>
      </c>
      <c r="J55" s="2">
        <v>0</v>
      </c>
      <c r="K55" s="2"/>
    </row>
    <row r="56" spans="1:11" x14ac:dyDescent="0.45">
      <c r="A56" s="2" t="s">
        <v>1542</v>
      </c>
      <c r="B56" s="2" t="s">
        <v>1543</v>
      </c>
      <c r="C56" s="2" t="s">
        <v>1549</v>
      </c>
      <c r="D56" s="2">
        <v>18</v>
      </c>
      <c r="E56" s="2">
        <v>18</v>
      </c>
      <c r="F56" s="2">
        <v>0.31</v>
      </c>
      <c r="G56" s="2" t="s">
        <v>1518</v>
      </c>
      <c r="H56" s="2" t="s">
        <v>1544</v>
      </c>
      <c r="I56" s="2">
        <v>0</v>
      </c>
      <c r="J56" s="2">
        <v>0</v>
      </c>
      <c r="K56" s="2"/>
    </row>
    <row r="57" spans="1:11" x14ac:dyDescent="0.45">
      <c r="A57" s="2" t="s">
        <v>1542</v>
      </c>
      <c r="B57" s="2" t="s">
        <v>1543</v>
      </c>
      <c r="C57" s="2" t="s">
        <v>1550</v>
      </c>
      <c r="D57" s="2">
        <v>18</v>
      </c>
      <c r="E57" s="2">
        <v>18</v>
      </c>
      <c r="F57" s="2">
        <v>0.44</v>
      </c>
      <c r="G57" s="2" t="s">
        <v>1518</v>
      </c>
      <c r="H57" s="2" t="s">
        <v>1544</v>
      </c>
      <c r="I57" s="2">
        <v>0</v>
      </c>
      <c r="J57" s="2">
        <v>0</v>
      </c>
      <c r="K57" s="2"/>
    </row>
    <row r="58" spans="1:11" x14ac:dyDescent="0.45">
      <c r="A58" s="2" t="s">
        <v>1542</v>
      </c>
      <c r="B58" s="2" t="s">
        <v>1543</v>
      </c>
      <c r="C58" s="2" t="s">
        <v>1551</v>
      </c>
      <c r="D58" s="2">
        <v>18</v>
      </c>
      <c r="E58" s="2">
        <v>18</v>
      </c>
      <c r="F58" s="2">
        <v>0.77</v>
      </c>
      <c r="G58" s="2" t="s">
        <v>1518</v>
      </c>
      <c r="H58" s="2" t="s">
        <v>1544</v>
      </c>
      <c r="I58" s="2">
        <v>0</v>
      </c>
      <c r="J58" s="2">
        <v>0</v>
      </c>
      <c r="K58" s="2"/>
    </row>
    <row r="59" spans="1:11" x14ac:dyDescent="0.45">
      <c r="A59" s="2" t="s">
        <v>1542</v>
      </c>
      <c r="B59" s="2" t="s">
        <v>1543</v>
      </c>
      <c r="C59" s="2" t="s">
        <v>1552</v>
      </c>
      <c r="D59" s="2">
        <v>18</v>
      </c>
      <c r="E59" s="2">
        <v>18</v>
      </c>
      <c r="F59" s="2">
        <v>0.75</v>
      </c>
      <c r="G59" s="2" t="s">
        <v>1518</v>
      </c>
      <c r="H59" s="2" t="s">
        <v>1544</v>
      </c>
      <c r="I59" s="2">
        <v>0</v>
      </c>
      <c r="J59" s="2">
        <v>0</v>
      </c>
      <c r="K59" s="2"/>
    </row>
    <row r="60" spans="1:11" x14ac:dyDescent="0.45">
      <c r="A60" s="2" t="s">
        <v>1542</v>
      </c>
      <c r="B60" s="2" t="s">
        <v>1543</v>
      </c>
      <c r="C60" s="2" t="s">
        <v>1553</v>
      </c>
      <c r="D60" s="2">
        <v>18</v>
      </c>
      <c r="E60" s="2">
        <v>18</v>
      </c>
      <c r="F60" s="2">
        <v>0.64</v>
      </c>
      <c r="G60" s="2" t="s">
        <v>1518</v>
      </c>
      <c r="H60" s="2" t="s">
        <v>1544</v>
      </c>
      <c r="I60" s="2">
        <v>0</v>
      </c>
      <c r="J60" s="2">
        <v>0</v>
      </c>
      <c r="K60" s="2"/>
    </row>
    <row r="61" spans="1:11" x14ac:dyDescent="0.45">
      <c r="A61" s="2" t="s">
        <v>1542</v>
      </c>
      <c r="B61" s="2" t="s">
        <v>1543</v>
      </c>
      <c r="C61" s="2" t="s">
        <v>1554</v>
      </c>
      <c r="D61" s="2">
        <v>18</v>
      </c>
      <c r="E61" s="2">
        <v>18</v>
      </c>
      <c r="F61" s="2">
        <v>0.86</v>
      </c>
      <c r="G61" s="2" t="s">
        <v>1518</v>
      </c>
      <c r="H61" s="2" t="s">
        <v>1544</v>
      </c>
      <c r="I61" s="2">
        <v>0</v>
      </c>
      <c r="J61" s="2">
        <v>0</v>
      </c>
      <c r="K61" s="2"/>
    </row>
    <row r="62" spans="1:11" x14ac:dyDescent="0.45">
      <c r="A62" s="2" t="s">
        <v>1542</v>
      </c>
      <c r="B62" s="2" t="s">
        <v>1543</v>
      </c>
      <c r="C62" s="2" t="s">
        <v>1555</v>
      </c>
      <c r="D62" s="2">
        <v>18</v>
      </c>
      <c r="E62" s="2">
        <v>18</v>
      </c>
      <c r="F62" s="2">
        <v>0.76</v>
      </c>
      <c r="G62" s="2" t="s">
        <v>1518</v>
      </c>
      <c r="H62" s="2" t="s">
        <v>1544</v>
      </c>
      <c r="I62" s="2">
        <v>0</v>
      </c>
      <c r="J62" s="2">
        <v>0</v>
      </c>
      <c r="K62" s="2"/>
    </row>
    <row r="63" spans="1:11" x14ac:dyDescent="0.45">
      <c r="A63" s="2" t="s">
        <v>1542</v>
      </c>
      <c r="B63" s="2" t="s">
        <v>1543</v>
      </c>
      <c r="C63" s="2" t="s">
        <v>1556</v>
      </c>
      <c r="D63" s="2">
        <v>18</v>
      </c>
      <c r="E63" s="2">
        <v>18</v>
      </c>
      <c r="F63" s="2">
        <v>0.37</v>
      </c>
      <c r="G63" s="2" t="s">
        <v>1518</v>
      </c>
      <c r="H63" s="2" t="s">
        <v>1544</v>
      </c>
      <c r="I63" s="2">
        <v>0</v>
      </c>
      <c r="J63" s="2">
        <v>0</v>
      </c>
      <c r="K63" s="2"/>
    </row>
    <row r="64" spans="1:11" x14ac:dyDescent="0.45">
      <c r="A64" s="2" t="s">
        <v>1542</v>
      </c>
      <c r="B64" s="2" t="s">
        <v>1543</v>
      </c>
      <c r="C64" s="2" t="s">
        <v>1557</v>
      </c>
      <c r="D64" s="2">
        <v>18</v>
      </c>
      <c r="E64" s="2">
        <v>18</v>
      </c>
      <c r="F64" s="2">
        <v>0.93</v>
      </c>
      <c r="G64" s="2" t="s">
        <v>1518</v>
      </c>
      <c r="H64" s="2" t="s">
        <v>1544</v>
      </c>
      <c r="I64" s="2">
        <v>0</v>
      </c>
      <c r="J64" s="2">
        <v>0</v>
      </c>
      <c r="K64" s="2"/>
    </row>
    <row r="65" spans="1:11" x14ac:dyDescent="0.45">
      <c r="A65" s="2" t="s">
        <v>1542</v>
      </c>
      <c r="B65" s="2" t="s">
        <v>1543</v>
      </c>
      <c r="C65" s="2" t="s">
        <v>1558</v>
      </c>
      <c r="D65" s="2">
        <v>18</v>
      </c>
      <c r="E65" s="2">
        <v>18</v>
      </c>
      <c r="F65" s="2">
        <v>0.56999999999999995</v>
      </c>
      <c r="G65" s="2" t="s">
        <v>1518</v>
      </c>
      <c r="H65" s="2" t="s">
        <v>1544</v>
      </c>
      <c r="I65" s="2">
        <v>0</v>
      </c>
      <c r="J65" s="2">
        <v>0</v>
      </c>
      <c r="K65" s="2"/>
    </row>
    <row r="66" spans="1:11" x14ac:dyDescent="0.45">
      <c r="A66" s="2" t="s">
        <v>1542</v>
      </c>
      <c r="B66" s="2" t="s">
        <v>1543</v>
      </c>
      <c r="C66" s="2" t="s">
        <v>1559</v>
      </c>
      <c r="D66" s="2">
        <v>18</v>
      </c>
      <c r="E66" s="2">
        <v>18</v>
      </c>
      <c r="F66" s="2">
        <v>0.66</v>
      </c>
      <c r="G66" s="2" t="s">
        <v>1518</v>
      </c>
      <c r="H66" s="2" t="s">
        <v>1544</v>
      </c>
      <c r="I66" s="2">
        <v>0</v>
      </c>
      <c r="J66" s="2">
        <v>0</v>
      </c>
      <c r="K66" s="2"/>
    </row>
    <row r="67" spans="1:11" x14ac:dyDescent="0.45">
      <c r="A67" s="2" t="s">
        <v>1542</v>
      </c>
      <c r="B67" s="2" t="s">
        <v>1543</v>
      </c>
      <c r="C67" s="2" t="s">
        <v>1560</v>
      </c>
      <c r="D67" s="2">
        <v>18</v>
      </c>
      <c r="E67" s="2">
        <v>18</v>
      </c>
      <c r="F67" s="2">
        <v>0.15</v>
      </c>
      <c r="G67" s="2" t="s">
        <v>1518</v>
      </c>
      <c r="H67" s="2" t="s">
        <v>1544</v>
      </c>
      <c r="I67" s="2">
        <v>0</v>
      </c>
      <c r="J67" s="2">
        <v>0</v>
      </c>
      <c r="K67" s="2"/>
    </row>
    <row r="68" spans="1:11" x14ac:dyDescent="0.45">
      <c r="A68" s="2" t="s">
        <v>1542</v>
      </c>
      <c r="B68" s="2" t="s">
        <v>1543</v>
      </c>
      <c r="C68" s="2" t="s">
        <v>1561</v>
      </c>
      <c r="D68" s="2">
        <v>18</v>
      </c>
      <c r="E68" s="2">
        <v>18</v>
      </c>
      <c r="F68" s="2">
        <v>0.66</v>
      </c>
      <c r="G68" s="2" t="s">
        <v>1518</v>
      </c>
      <c r="H68" s="2" t="s">
        <v>1544</v>
      </c>
      <c r="I68" s="2">
        <v>0</v>
      </c>
      <c r="J68" s="2">
        <v>0</v>
      </c>
      <c r="K68" s="2"/>
    </row>
    <row r="69" spans="1:11" x14ac:dyDescent="0.45">
      <c r="A69" s="2" t="s">
        <v>1542</v>
      </c>
      <c r="B69" s="2" t="s">
        <v>1543</v>
      </c>
      <c r="C69" s="2" t="s">
        <v>1562</v>
      </c>
      <c r="D69" s="2">
        <v>18</v>
      </c>
      <c r="E69" s="2">
        <v>18</v>
      </c>
      <c r="F69" s="2">
        <v>0.35</v>
      </c>
      <c r="G69" s="2" t="s">
        <v>1518</v>
      </c>
      <c r="H69" s="2" t="s">
        <v>1544</v>
      </c>
      <c r="I69" s="2">
        <v>0</v>
      </c>
      <c r="J69" s="2">
        <v>0</v>
      </c>
      <c r="K69" s="2"/>
    </row>
    <row r="70" spans="1:11" x14ac:dyDescent="0.45">
      <c r="A70" s="2" t="s">
        <v>1542</v>
      </c>
      <c r="B70" s="2" t="s">
        <v>1543</v>
      </c>
      <c r="C70" s="2" t="s">
        <v>148</v>
      </c>
      <c r="D70" s="2">
        <v>1</v>
      </c>
      <c r="E70" s="2">
        <v>1</v>
      </c>
      <c r="F70" s="2">
        <v>1</v>
      </c>
      <c r="G70" s="2" t="s">
        <v>1518</v>
      </c>
      <c r="H70" s="2" t="s">
        <v>1544</v>
      </c>
      <c r="I70" s="2">
        <v>1</v>
      </c>
      <c r="J70" s="2">
        <v>4</v>
      </c>
      <c r="K70" s="2"/>
    </row>
    <row r="71" spans="1:11" ht="23.25" x14ac:dyDescent="0.45">
      <c r="A71" s="2" t="s">
        <v>1542</v>
      </c>
      <c r="B71" s="2" t="s">
        <v>1543</v>
      </c>
      <c r="C71" s="2" t="s">
        <v>126</v>
      </c>
      <c r="D71" s="2">
        <v>1</v>
      </c>
      <c r="E71" s="2">
        <v>1</v>
      </c>
      <c r="F71" s="2">
        <v>1</v>
      </c>
      <c r="G71" s="2" t="s">
        <v>1518</v>
      </c>
      <c r="H71" s="2" t="s">
        <v>1544</v>
      </c>
      <c r="I71" s="2">
        <v>55</v>
      </c>
      <c r="J71" s="2">
        <v>7</v>
      </c>
      <c r="K71" s="2" t="s">
        <v>1563</v>
      </c>
    </row>
    <row r="72" spans="1:11" ht="46.5" x14ac:dyDescent="0.45">
      <c r="A72" s="2" t="s">
        <v>1564</v>
      </c>
      <c r="B72" s="2" t="s">
        <v>1565</v>
      </c>
      <c r="C72" s="2" t="s">
        <v>1367</v>
      </c>
      <c r="D72" s="2">
        <v>1</v>
      </c>
      <c r="E72" s="2">
        <v>2</v>
      </c>
      <c r="F72" s="2">
        <v>1</v>
      </c>
      <c r="G72" s="2" t="s">
        <v>1518</v>
      </c>
      <c r="H72" s="2" t="s">
        <v>1566</v>
      </c>
      <c r="I72" s="2">
        <v>52</v>
      </c>
      <c r="J72" s="2">
        <v>12</v>
      </c>
      <c r="K72" s="2" t="s">
        <v>1567</v>
      </c>
    </row>
    <row r="73" spans="1:11" ht="46.5" x14ac:dyDescent="0.45">
      <c r="A73" s="2" t="s">
        <v>1568</v>
      </c>
      <c r="B73" s="2" t="s">
        <v>1569</v>
      </c>
      <c r="C73" s="2" t="s">
        <v>1368</v>
      </c>
      <c r="D73" s="2">
        <v>2</v>
      </c>
      <c r="E73" s="2">
        <v>3</v>
      </c>
      <c r="F73" s="2">
        <v>1</v>
      </c>
      <c r="G73" s="2" t="s">
        <v>1518</v>
      </c>
      <c r="H73" s="2" t="s">
        <v>1566</v>
      </c>
      <c r="I73" s="2">
        <v>52</v>
      </c>
      <c r="J73" s="2">
        <v>12</v>
      </c>
      <c r="K73" s="2" t="s">
        <v>1570</v>
      </c>
    </row>
    <row r="74" spans="1:11" ht="23.25" x14ac:dyDescent="0.45">
      <c r="A74" s="2" t="s">
        <v>1571</v>
      </c>
      <c r="B74" s="2" t="s">
        <v>1572</v>
      </c>
      <c r="C74" s="2" t="s">
        <v>1366</v>
      </c>
      <c r="D74" s="2">
        <v>1</v>
      </c>
      <c r="E74" s="2">
        <v>1</v>
      </c>
      <c r="F74" s="2">
        <v>1</v>
      </c>
      <c r="G74" s="2" t="s">
        <v>1518</v>
      </c>
      <c r="H74" s="2" t="s">
        <v>1566</v>
      </c>
      <c r="I74" s="2">
        <v>52</v>
      </c>
      <c r="J74" s="2">
        <v>12</v>
      </c>
      <c r="K74" s="2" t="s">
        <v>1573</v>
      </c>
    </row>
    <row r="75" spans="1:11" x14ac:dyDescent="0.45">
      <c r="A75" s="2" t="s">
        <v>1521</v>
      </c>
      <c r="B75" s="2" t="s">
        <v>1574</v>
      </c>
      <c r="C75" s="2" t="s">
        <v>127</v>
      </c>
      <c r="D75" s="2" t="s">
        <v>93</v>
      </c>
      <c r="E75" s="2" t="s">
        <v>93</v>
      </c>
      <c r="F75" s="2">
        <v>0</v>
      </c>
      <c r="G75" s="2" t="s">
        <v>1518</v>
      </c>
      <c r="H75" s="2" t="s">
        <v>1523</v>
      </c>
      <c r="I75" s="2">
        <v>55</v>
      </c>
      <c r="J75" s="2">
        <v>6</v>
      </c>
      <c r="K75" s="2" t="s">
        <v>1575</v>
      </c>
    </row>
    <row r="76" spans="1:11" x14ac:dyDescent="0.45">
      <c r="A76" s="2" t="s">
        <v>1576</v>
      </c>
      <c r="B76" s="2" t="s">
        <v>1574</v>
      </c>
      <c r="C76" s="2" t="s">
        <v>154</v>
      </c>
      <c r="D76" s="2" t="s">
        <v>93</v>
      </c>
      <c r="E76" s="2" t="s">
        <v>93</v>
      </c>
      <c r="F76" s="2">
        <v>0</v>
      </c>
      <c r="G76" s="2" t="s">
        <v>1518</v>
      </c>
      <c r="H76" s="2" t="s">
        <v>1566</v>
      </c>
      <c r="I76" s="2">
        <v>57</v>
      </c>
      <c r="J76" s="2">
        <v>34</v>
      </c>
      <c r="K76" s="2"/>
    </row>
  </sheetData>
  <autoFilter ref="A1:K76" xr:uid="{00000000-0009-0000-0000-00000F000000}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2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25" x14ac:dyDescent="0.45"/>
  <cols>
    <col min="1" max="1" width="6" customWidth="1"/>
    <col min="2" max="2" width="9" customWidth="1"/>
    <col min="3" max="3" width="22" customWidth="1"/>
    <col min="4" max="4" width="48" customWidth="1"/>
    <col min="5" max="5" width="70" customWidth="1"/>
    <col min="6" max="6" width="30" customWidth="1"/>
    <col min="7" max="7" width="40" customWidth="1"/>
    <col min="8" max="8" width="44" customWidth="1"/>
    <col min="9" max="9" width="60" customWidth="1"/>
  </cols>
  <sheetData>
    <row r="1" spans="1:9" x14ac:dyDescent="0.45">
      <c r="A1" s="1" t="s">
        <v>359</v>
      </c>
      <c r="B1" s="1" t="s">
        <v>1577</v>
      </c>
      <c r="C1" s="1" t="s">
        <v>1014</v>
      </c>
      <c r="D1" s="1" t="s">
        <v>1578</v>
      </c>
      <c r="E1" s="1" t="s">
        <v>1579</v>
      </c>
      <c r="F1" s="1" t="s">
        <v>1580</v>
      </c>
      <c r="G1" s="1" t="s">
        <v>1581</v>
      </c>
      <c r="H1" s="1" t="s">
        <v>1582</v>
      </c>
      <c r="I1" s="1" t="s">
        <v>1583</v>
      </c>
    </row>
    <row r="2" spans="1:9" ht="34.9" x14ac:dyDescent="0.45">
      <c r="A2" s="2" t="s">
        <v>1584</v>
      </c>
      <c r="B2" s="16" t="s">
        <v>1585</v>
      </c>
      <c r="C2" s="2" t="s">
        <v>1586</v>
      </c>
      <c r="D2" s="2" t="s">
        <v>1587</v>
      </c>
      <c r="E2" s="2" t="s">
        <v>1588</v>
      </c>
      <c r="F2" s="2" t="s">
        <v>1589</v>
      </c>
      <c r="G2" s="2" t="s">
        <v>1590</v>
      </c>
      <c r="H2" s="2" t="s">
        <v>1591</v>
      </c>
      <c r="I2" s="2" t="s">
        <v>1592</v>
      </c>
    </row>
    <row r="3" spans="1:9" ht="34.9" x14ac:dyDescent="0.45">
      <c r="A3" s="2" t="s">
        <v>1593</v>
      </c>
      <c r="B3" s="16" t="s">
        <v>1585</v>
      </c>
      <c r="C3" s="2" t="s">
        <v>1594</v>
      </c>
      <c r="D3" s="2" t="s">
        <v>1595</v>
      </c>
      <c r="E3" s="2" t="s">
        <v>1596</v>
      </c>
      <c r="F3" s="2" t="s">
        <v>1597</v>
      </c>
      <c r="G3" s="2" t="s">
        <v>1598</v>
      </c>
      <c r="H3" s="2" t="s">
        <v>1599</v>
      </c>
      <c r="I3" s="2" t="s">
        <v>1600</v>
      </c>
    </row>
    <row r="4" spans="1:9" ht="23.25" x14ac:dyDescent="0.45">
      <c r="A4" s="2" t="s">
        <v>1601</v>
      </c>
      <c r="B4" s="16" t="s">
        <v>1585</v>
      </c>
      <c r="C4" s="2" t="s">
        <v>1602</v>
      </c>
      <c r="D4" s="2" t="s">
        <v>1603</v>
      </c>
      <c r="E4" s="2" t="s">
        <v>1604</v>
      </c>
      <c r="F4" s="2" t="s">
        <v>1605</v>
      </c>
      <c r="G4" s="2" t="s">
        <v>1606</v>
      </c>
      <c r="H4" s="2"/>
      <c r="I4" s="2" t="s">
        <v>1607</v>
      </c>
    </row>
    <row r="5" spans="1:9" ht="46.5" x14ac:dyDescent="0.45">
      <c r="A5" s="2" t="s">
        <v>1608</v>
      </c>
      <c r="B5" s="16" t="s">
        <v>1585</v>
      </c>
      <c r="C5" s="2" t="s">
        <v>1609</v>
      </c>
      <c r="D5" s="2" t="s">
        <v>1610</v>
      </c>
      <c r="E5" s="2" t="s">
        <v>1611</v>
      </c>
      <c r="F5" s="2" t="s">
        <v>1612</v>
      </c>
      <c r="G5" s="2" t="s">
        <v>1613</v>
      </c>
      <c r="H5" s="2" t="s">
        <v>1614</v>
      </c>
      <c r="I5" s="2" t="s">
        <v>1615</v>
      </c>
    </row>
    <row r="6" spans="1:9" ht="34.9" x14ac:dyDescent="0.45">
      <c r="A6" s="2" t="s">
        <v>1616</v>
      </c>
      <c r="B6" s="17" t="s">
        <v>1617</v>
      </c>
      <c r="C6" s="2" t="s">
        <v>1618</v>
      </c>
      <c r="D6" s="2" t="s">
        <v>1619</v>
      </c>
      <c r="E6" s="2" t="s">
        <v>1620</v>
      </c>
      <c r="F6" s="2" t="s">
        <v>1589</v>
      </c>
      <c r="G6" s="2" t="s">
        <v>1621</v>
      </c>
      <c r="H6" s="2"/>
      <c r="I6" s="2" t="s">
        <v>1622</v>
      </c>
    </row>
    <row r="7" spans="1:9" ht="23.25" x14ac:dyDescent="0.45">
      <c r="A7" s="2" t="s">
        <v>1623</v>
      </c>
      <c r="B7" s="17" t="s">
        <v>1617</v>
      </c>
      <c r="C7" s="2" t="s">
        <v>1624</v>
      </c>
      <c r="D7" s="2" t="s">
        <v>93</v>
      </c>
      <c r="E7" s="2" t="s">
        <v>1625</v>
      </c>
      <c r="F7" s="2" t="s">
        <v>1626</v>
      </c>
      <c r="G7" s="2" t="s">
        <v>1627</v>
      </c>
      <c r="H7" s="2"/>
      <c r="I7" s="2"/>
    </row>
    <row r="8" spans="1:9" ht="58.15" x14ac:dyDescent="0.45">
      <c r="A8" s="2" t="s">
        <v>1628</v>
      </c>
      <c r="B8" s="16" t="s">
        <v>1585</v>
      </c>
      <c r="C8" s="2" t="s">
        <v>1629</v>
      </c>
      <c r="D8" s="2" t="s">
        <v>1630</v>
      </c>
      <c r="E8" s="2" t="s">
        <v>1631</v>
      </c>
      <c r="F8" s="2" t="s">
        <v>1632</v>
      </c>
      <c r="G8" s="2" t="s">
        <v>1633</v>
      </c>
      <c r="H8" s="2" t="s">
        <v>1634</v>
      </c>
      <c r="I8" s="2" t="s">
        <v>1635</v>
      </c>
    </row>
    <row r="9" spans="1:9" ht="34.9" x14ac:dyDescent="0.45">
      <c r="A9" s="2" t="s">
        <v>1636</v>
      </c>
      <c r="B9" s="17" t="s">
        <v>1617</v>
      </c>
      <c r="C9" s="2" t="s">
        <v>1637</v>
      </c>
      <c r="D9" s="2" t="s">
        <v>1638</v>
      </c>
      <c r="E9" s="2" t="s">
        <v>1639</v>
      </c>
      <c r="F9" s="2" t="s">
        <v>1640</v>
      </c>
      <c r="G9" s="2" t="s">
        <v>1641</v>
      </c>
      <c r="H9" s="2"/>
      <c r="I9" s="2"/>
    </row>
    <row r="10" spans="1:9" ht="23.25" x14ac:dyDescent="0.45">
      <c r="A10" s="2" t="s">
        <v>1642</v>
      </c>
      <c r="B10" s="17" t="s">
        <v>1617</v>
      </c>
      <c r="C10" s="2" t="s">
        <v>1091</v>
      </c>
      <c r="D10" s="2" t="s">
        <v>1643</v>
      </c>
      <c r="E10" s="2" t="s">
        <v>1644</v>
      </c>
      <c r="F10" s="2" t="s">
        <v>1645</v>
      </c>
      <c r="G10" s="2" t="s">
        <v>1646</v>
      </c>
      <c r="H10" s="2" t="s">
        <v>1647</v>
      </c>
      <c r="I10" s="2" t="s">
        <v>1648</v>
      </c>
    </row>
    <row r="11" spans="1:9" ht="34.9" x14ac:dyDescent="0.45">
      <c r="A11" s="2" t="s">
        <v>1649</v>
      </c>
      <c r="B11" s="16" t="s">
        <v>1585</v>
      </c>
      <c r="C11" s="2" t="s">
        <v>1650</v>
      </c>
      <c r="D11" s="2" t="s">
        <v>1651</v>
      </c>
      <c r="E11" s="2" t="s">
        <v>1652</v>
      </c>
      <c r="F11" s="2" t="s">
        <v>1653</v>
      </c>
      <c r="G11" s="2" t="s">
        <v>1646</v>
      </c>
      <c r="H11" s="2" t="s">
        <v>1654</v>
      </c>
      <c r="I11" s="2" t="s">
        <v>1655</v>
      </c>
    </row>
    <row r="12" spans="1:9" ht="69.75" x14ac:dyDescent="0.45">
      <c r="A12" s="2" t="s">
        <v>1656</v>
      </c>
      <c r="B12" s="17" t="s">
        <v>1617</v>
      </c>
      <c r="C12" s="2" t="s">
        <v>1657</v>
      </c>
      <c r="D12" s="2" t="s">
        <v>1658</v>
      </c>
      <c r="E12" s="2" t="s">
        <v>1659</v>
      </c>
      <c r="F12" s="2" t="s">
        <v>1660</v>
      </c>
      <c r="G12" s="2" t="s">
        <v>1661</v>
      </c>
      <c r="H12" s="2" t="s">
        <v>1662</v>
      </c>
      <c r="I12" s="2" t="s">
        <v>1663</v>
      </c>
    </row>
    <row r="13" spans="1:9" ht="23.25" x14ac:dyDescent="0.45">
      <c r="A13" s="2" t="s">
        <v>1664</v>
      </c>
      <c r="B13" s="18" t="s">
        <v>1665</v>
      </c>
      <c r="C13" s="2" t="s">
        <v>846</v>
      </c>
      <c r="D13" s="2" t="s">
        <v>93</v>
      </c>
      <c r="E13" s="2" t="s">
        <v>1666</v>
      </c>
      <c r="F13" s="2" t="s">
        <v>1667</v>
      </c>
      <c r="G13" s="2" t="s">
        <v>1668</v>
      </c>
      <c r="H13" s="2"/>
      <c r="I13" s="2"/>
    </row>
    <row r="14" spans="1:9" ht="23.25" x14ac:dyDescent="0.45">
      <c r="A14" s="2" t="s">
        <v>1669</v>
      </c>
      <c r="B14" s="18" t="s">
        <v>1665</v>
      </c>
      <c r="C14" s="2" t="s">
        <v>1670</v>
      </c>
      <c r="D14" s="2" t="s">
        <v>93</v>
      </c>
      <c r="E14" s="2" t="s">
        <v>1671</v>
      </c>
      <c r="F14" s="2" t="s">
        <v>1672</v>
      </c>
      <c r="G14" s="2" t="s">
        <v>1673</v>
      </c>
      <c r="H14" s="2"/>
      <c r="I14" s="2"/>
    </row>
    <row r="15" spans="1:9" ht="34.9" x14ac:dyDescent="0.45">
      <c r="A15" s="2" t="s">
        <v>1674</v>
      </c>
      <c r="B15" s="18" t="s">
        <v>1665</v>
      </c>
      <c r="C15" s="2" t="s">
        <v>1675</v>
      </c>
      <c r="D15" s="2" t="s">
        <v>93</v>
      </c>
      <c r="E15" s="2" t="s">
        <v>1676</v>
      </c>
      <c r="F15" s="2" t="s">
        <v>1677</v>
      </c>
      <c r="G15" s="2" t="s">
        <v>1678</v>
      </c>
      <c r="H15" s="2" t="s">
        <v>1679</v>
      </c>
      <c r="I15" s="2"/>
    </row>
    <row r="16" spans="1:9" ht="23.25" x14ac:dyDescent="0.45">
      <c r="A16" s="2" t="s">
        <v>1680</v>
      </c>
      <c r="B16" s="18" t="s">
        <v>1665</v>
      </c>
      <c r="C16" s="2" t="s">
        <v>1681</v>
      </c>
      <c r="D16" s="2" t="s">
        <v>93</v>
      </c>
      <c r="E16" s="2" t="s">
        <v>1682</v>
      </c>
      <c r="F16" s="2" t="s">
        <v>1683</v>
      </c>
      <c r="G16" s="2" t="s">
        <v>1684</v>
      </c>
      <c r="H16" s="2"/>
      <c r="I16" s="2"/>
    </row>
    <row r="17" spans="1:9" ht="23.25" x14ac:dyDescent="0.45">
      <c r="A17" s="2" t="s">
        <v>1685</v>
      </c>
      <c r="B17" s="18" t="s">
        <v>1665</v>
      </c>
      <c r="C17" s="2" t="s">
        <v>1686</v>
      </c>
      <c r="D17" s="2" t="s">
        <v>93</v>
      </c>
      <c r="E17" s="2" t="s">
        <v>1687</v>
      </c>
      <c r="F17" s="2" t="s">
        <v>1688</v>
      </c>
      <c r="G17" s="2" t="s">
        <v>1689</v>
      </c>
      <c r="H17" s="2"/>
      <c r="I17" s="2"/>
    </row>
    <row r="18" spans="1:9" ht="34.9" x14ac:dyDescent="0.45">
      <c r="A18" s="2" t="s">
        <v>1690</v>
      </c>
      <c r="B18" s="18" t="s">
        <v>1665</v>
      </c>
      <c r="C18" s="2" t="s">
        <v>1691</v>
      </c>
      <c r="D18" s="2" t="s">
        <v>93</v>
      </c>
      <c r="E18" s="2" t="s">
        <v>1692</v>
      </c>
      <c r="F18" s="2" t="s">
        <v>1693</v>
      </c>
      <c r="G18" s="2" t="s">
        <v>1694</v>
      </c>
      <c r="H18" s="2" t="s">
        <v>1695</v>
      </c>
      <c r="I18" s="2" t="s">
        <v>1696</v>
      </c>
    </row>
    <row r="19" spans="1:9" ht="46.5" x14ac:dyDescent="0.45">
      <c r="A19" s="2" t="s">
        <v>1697</v>
      </c>
      <c r="B19" s="17" t="s">
        <v>1617</v>
      </c>
      <c r="C19" s="2" t="s">
        <v>1698</v>
      </c>
      <c r="D19" s="2" t="s">
        <v>93</v>
      </c>
      <c r="E19" s="2" t="s">
        <v>1699</v>
      </c>
      <c r="F19" s="2" t="s">
        <v>1700</v>
      </c>
      <c r="G19" s="2" t="s">
        <v>1701</v>
      </c>
      <c r="H19" s="2"/>
      <c r="I19" s="2"/>
    </row>
    <row r="20" spans="1:9" ht="46.5" x14ac:dyDescent="0.45">
      <c r="A20" s="2" t="s">
        <v>1702</v>
      </c>
      <c r="B20" s="16" t="s">
        <v>1585</v>
      </c>
      <c r="C20" s="2" t="s">
        <v>1703</v>
      </c>
      <c r="D20" s="2" t="s">
        <v>1704</v>
      </c>
      <c r="E20" s="2" t="s">
        <v>1705</v>
      </c>
      <c r="F20" s="2" t="s">
        <v>1706</v>
      </c>
      <c r="G20" s="2" t="s">
        <v>1707</v>
      </c>
      <c r="H20" s="2" t="s">
        <v>1708</v>
      </c>
      <c r="I20" s="2" t="s">
        <v>1709</v>
      </c>
    </row>
    <row r="21" spans="1:9" ht="34.9" x14ac:dyDescent="0.45">
      <c r="A21" s="2" t="s">
        <v>1710</v>
      </c>
      <c r="B21" s="17" t="s">
        <v>1617</v>
      </c>
      <c r="C21" s="2" t="s">
        <v>1711</v>
      </c>
      <c r="D21" s="2" t="s">
        <v>93</v>
      </c>
      <c r="E21" s="2" t="s">
        <v>1712</v>
      </c>
      <c r="F21" s="2" t="s">
        <v>1713</v>
      </c>
      <c r="G21" s="2" t="s">
        <v>1714</v>
      </c>
      <c r="H21" s="2" t="s">
        <v>1715</v>
      </c>
      <c r="I21" s="2" t="s">
        <v>1716</v>
      </c>
    </row>
  </sheetData>
  <autoFilter ref="A1:I21" xr:uid="{00000000-0009-0000-0000-00001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README</vt:lpstr>
      <vt:lpstr>Ref_Assumptions</vt:lpstr>
      <vt:lpstr>T7_Zones</vt:lpstr>
      <vt:lpstr>T7_Grouped</vt:lpstr>
      <vt:lpstr>T8_Envelope</vt:lpstr>
      <vt:lpstr>T9_Glazing</vt:lpstr>
      <vt:lpstr>Map_Spaces</vt:lpstr>
      <vt:lpstr>Map_Envelope</vt:lpstr>
      <vt:lpstr>Map_Apertures</vt:lpstr>
      <vt:lpstr>Map_Model</vt:lpstr>
      <vt:lpstr>Val_SpaceTypes</vt:lpstr>
      <vt:lpstr>Val_Zones</vt:lpstr>
      <vt:lpstr>Val_Constructions</vt:lpstr>
      <vt:lpstr>Val_Layers</vt:lpstr>
      <vt:lpstr>Val_Glazing</vt:lpstr>
      <vt:lpstr>Val_Schedules</vt:lpstr>
      <vt:lpstr>Issues_Questions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Angelo Massafra</cp:lastModifiedBy>
  <dcterms:created xsi:type="dcterms:W3CDTF">2026-10-16T07:11:48Z</dcterms:created>
  <dcterms:modified xsi:type="dcterms:W3CDTF">2026-10-16T07:11:52Z</dcterms:modified>
</cp:coreProperties>
</file>