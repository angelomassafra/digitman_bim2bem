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5.xml" ContentType="application/vnd.openxmlformats-officedocument.spreadsheetml.comments+xml"/>
  <Override PartName="/xl/worksheets/sheet12.xml" ContentType="application/vnd.openxmlformats-officedocument.spreadsheetml.worksheet+xml"/>
  <Override PartName="/xl/comments/comment6.xml" ContentType="application/vnd.openxmlformats-officedocument.spreadsheetml.comments+xml"/>
  <Override PartName="/xl/worksheets/sheet13.xml" ContentType="application/vnd.openxmlformats-officedocument.spreadsheetml.worksheet+xml"/>
  <Override PartName="/xl/comments/comment7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8.xml" ContentType="application/vnd.openxmlformats-officedocument.spreadsheetml.comments+xml"/>
  <Override PartName="/xl/worksheets/sheet16.xml" ContentType="application/vnd.openxmlformats-officedocument.spreadsheetml.worksheet+xml"/>
  <Override PartName="/xl/comments/comment9.xml" ContentType="application/vnd.openxmlformats-officedocument.spreadsheetml.comments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f_Assumptions" sheetId="2" state="visible" r:id="rId2"/>
    <sheet xmlns:r="http://schemas.openxmlformats.org/officeDocument/2006/relationships" name="T7_Zones" sheetId="3" state="visible" r:id="rId3"/>
    <sheet xmlns:r="http://schemas.openxmlformats.org/officeDocument/2006/relationships" name="T7_Grouped" sheetId="4" state="visible" r:id="rId4"/>
    <sheet xmlns:r="http://schemas.openxmlformats.org/officeDocument/2006/relationships" name="T8_Envelope" sheetId="5" state="visible" r:id="rId5"/>
    <sheet xmlns:r="http://schemas.openxmlformats.org/officeDocument/2006/relationships" name="T9_Glazing" sheetId="6" state="visible" r:id="rId6"/>
    <sheet xmlns:r="http://schemas.openxmlformats.org/officeDocument/2006/relationships" name="Map_Spaces" sheetId="7" state="visible" r:id="rId7"/>
    <sheet xmlns:r="http://schemas.openxmlformats.org/officeDocument/2006/relationships" name="Map_Envelope" sheetId="8" state="visible" r:id="rId8"/>
    <sheet xmlns:r="http://schemas.openxmlformats.org/officeDocument/2006/relationships" name="Map_Apertures" sheetId="9" state="visible" r:id="rId9"/>
    <sheet xmlns:r="http://schemas.openxmlformats.org/officeDocument/2006/relationships" name="Map_Model" sheetId="10" state="visible" r:id="rId10"/>
    <sheet xmlns:r="http://schemas.openxmlformats.org/officeDocument/2006/relationships" name="Val_SpaceTypes" sheetId="11" state="visible" r:id="rId11"/>
    <sheet xmlns:r="http://schemas.openxmlformats.org/officeDocument/2006/relationships" name="Val_Zones" sheetId="12" state="visible" r:id="rId12"/>
    <sheet xmlns:r="http://schemas.openxmlformats.org/officeDocument/2006/relationships" name="Val_Constructions" sheetId="13" state="visible" r:id="rId13"/>
    <sheet xmlns:r="http://schemas.openxmlformats.org/officeDocument/2006/relationships" name="Val_Layers" sheetId="14" state="visible" r:id="rId14"/>
    <sheet xmlns:r="http://schemas.openxmlformats.org/officeDocument/2006/relationships" name="Val_Glazing" sheetId="15" state="visible" r:id="rId15"/>
    <sheet xmlns:r="http://schemas.openxmlformats.org/officeDocument/2006/relationships" name="Val_Schedules" sheetId="16" state="visible" r:id="rId16"/>
    <sheet xmlns:r="http://schemas.openxmlformats.org/officeDocument/2006/relationships" name="Issues_Questions" sheetId="17" state="visible" r:id="rId17"/>
  </sheets>
  <definedNames>
    <definedName name="_xlnm._FilterDatabase" localSheetId="0" hidden="1">'README'!$A$1:$B$25</definedName>
    <definedName name="_xlnm._FilterDatabase" localSheetId="1" hidden="1">'Ref_Assumptions'!$A$1:$E$10</definedName>
    <definedName name="_xlnm._FilterDatabase" localSheetId="2" hidden="1">'T7_Zones'!$A$1:$Z$86</definedName>
    <definedName name="_xlnm._FilterDatabase" localSheetId="3" hidden="1">'T7_Grouped'!$A$1:$T$26</definedName>
    <definedName name="_xlnm._FilterDatabase" localSheetId="4" hidden="1">'T8_Envelope'!$A$1:$P$19</definedName>
    <definedName name="_xlnm._FilterDatabase" localSheetId="5" hidden="1">'T9_Glazing'!$A$1:$S$5</definedName>
    <definedName name="_xlnm._FilterDatabase" localSheetId="6" hidden="1">'Map_Spaces'!$A$1:$Y$35</definedName>
    <definedName name="_xlnm._FilterDatabase" localSheetId="7" hidden="1">'Map_Envelope'!$A$1:$Y$18</definedName>
    <definedName name="_xlnm._FilterDatabase" localSheetId="8" hidden="1">'Map_Apertures'!$A$1:$Y$15</definedName>
    <definedName name="_xlnm._FilterDatabase" localSheetId="9" hidden="1">'Map_Model'!$A$1:$Q$21</definedName>
    <definedName name="_xlnm._FilterDatabase" localSheetId="10" hidden="1">'Val_SpaceTypes'!$A$1:$AE$24</definedName>
    <definedName name="_xlnm._FilterDatabase" localSheetId="11" hidden="1">'Val_Zones'!$A$1:$X$86</definedName>
    <definedName name="_xlnm._FilterDatabase" localSheetId="12" hidden="1">'Val_Constructions'!$A$1:$Q$37</definedName>
    <definedName name="_xlnm._FilterDatabase" localSheetId="13" hidden="1">'Val_Layers'!$A$1:$N$220</definedName>
    <definedName name="_xlnm._FilterDatabase" localSheetId="14" hidden="1">'Val_Glazing'!$A$1:$I$8</definedName>
    <definedName name="_xlnm._FilterDatabase" localSheetId="15" hidden="1">'Val_Schedules'!$A$1:$K$76</definedName>
    <definedName name="_xlnm._FilterDatabase" localSheetId="16" hidden="1">'Issues_Questions'!$A$1:$I$21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#,##0.0"/>
    <numFmt numFmtId="166" formatCode="0.000"/>
  </numFmts>
  <fonts count="5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9"/>
    </font>
    <font>
      <name val="Arial"/>
      <color rgb="FF008000"/>
      <sz val="9"/>
    </font>
    <font>
      <name val="Arial"/>
      <color rgb="FF0000FF"/>
      <sz val="9"/>
    </font>
  </fonts>
  <fills count="10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8CBAD"/>
      </patternFill>
    </fill>
    <fill>
      <patternFill patternType="solid">
        <fgColor rgb="FFFFE699"/>
      </patternFill>
    </fill>
    <fill>
      <patternFill patternType="solid">
        <fgColor rgb="FFDDEBF7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2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1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66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166" fontId="2" fillId="0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166" fontId="3" fillId="0" borderId="1" applyAlignment="1" pivotButton="0" quotePrefix="0" xfId="0">
      <alignment vertical="top" wrapText="1"/>
    </xf>
    <xf numFmtId="166" fontId="2" fillId="0" borderId="1" applyAlignment="1" pivotButton="0" quotePrefix="0" xfId="0">
      <alignment vertical="top" wrapText="1"/>
    </xf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omments/comment1.xml><?xml version="1.0" encoding="utf-8"?>
<comments xmlns="http://schemas.openxmlformats.org/spreadsheetml/2006/main">
  <authors>
    <author>BIM2BEM mapping</author>
  </authors>
  <commentList>
    <comment ref="A1" authorId="0" shapeId="0">
      <text>
        <t>Proposed Appendix Table 7, indexed by EnergyPlus zone (author decision). Loads, schedules, setpoints and humidity limits from DigitMan_Model_POLIMI-Edificio{09,10}_EnergyPlusIDF_Calibrated.idf. Ventilation and infiltration columns S, T, V are the EN 16798 / Methods reference values (Ref_Assumptions); columns W–X keep the repository IDF values for traceability.</t>
      </text>
    </comment>
    <comment ref="C1" authorId="0" shapeId="0">
      <text>
        <t>Inferred from People density and HVAC availability in the IDF (0.6 → lecture hall, 0.3 → lab, 0.12 → office, 0.8 → snack bar).</t>
      </text>
    </comment>
    <comment ref="D1" authorId="0" shapeId="0">
      <text>
        <t>Sum of the areas of the zone's Floor surfaces in the IDF geometry.</t>
      </text>
    </comment>
    <comment ref="L1" authorId="0" shapeId="0">
      <text>
        <t>Setpoints cited in the paper (author decision), linked to Ref_Assumptions C8:C10; '–' for unconditioned zones. Calibrated-IDF values in columns Y–Z.</t>
      </text>
    </comment>
    <comment ref="U1" authorId="0" shapeId="0">
      <text>
        <t>Formula: (occupants × OA per person + area × OA per area) × 3.6, ventilated zones only.</t>
      </text>
    </comment>
  </commentList>
</comments>
</file>

<file path=xl/comments/comment2.xml><?xml version="1.0" encoding="utf-8"?>
<comments xmlns="http://schemas.openxmlformats.org/spreadsheetml/2006/main">
  <authors>
    <author>BIM2BEM mapping</author>
  </authors>
  <commentList>
    <comment ref="A1" authorId="0" shapeId="0">
      <text>
        <t>Condensed version of T7_Zones for the manuscript: zones with identical loads, schedules and ventilation status are grouped. Area, occupants and OA are SUMIFS over T7_Zones via the zone list key in column D.</t>
      </text>
    </comment>
  </commentList>
</comments>
</file>

<file path=xl/comments/comment3.xml><?xml version="1.0" encoding="utf-8"?>
<comments xmlns="http://schemas.openxmlformats.org/spreadsheetml/2006/main">
  <authors>
    <author>BIM2BEM mapping</author>
  </authors>
  <commentList>
    <comment ref="A1" authorId="0" shapeId="0">
      <text>
        <t>Proposed Appendix Table 8: every construction assigned to a surface with Outdoors, Ground or Adiabatic boundary in the calibrated IDFs (constructions are identical in baseline and calibrated, and in both buildings).</t>
      </text>
    </comment>
    <comment ref="C1" authorId="0" shapeId="0">
      <text>
        <t>'No' = interior partition that is exterior only because neighbouring cells were excluded from the BEM; suggested to mention in a footnote rather than list.</t>
      </text>
    </comment>
    <comment ref="J1" authorId="0" shapeId="0">
      <text>
        <t>Input (blue): ISO 6946 surface resistances by category; ground floor Rse = 0 (soil excluded).</t>
      </text>
    </comment>
    <comment ref="M1" authorId="0" shapeId="0">
      <text>
        <t>Gross area of the surfaces minus the windows they host; boundary Outdoors + Ground + Adiabatic.</t>
      </text>
    </comment>
  </commentList>
</comments>
</file>

<file path=xl/comments/comment4.xml><?xml version="1.0" encoding="utf-8"?>
<comments xmlns="http://schemas.openxmlformats.org/spreadsheetml/2006/main">
  <authors>
    <author>BIM2BEM mapping</author>
  </authors>
  <commentList>
    <comment ref="A1" authorId="0" shapeId="0">
      <text>
        <t>Proposed Appendix Table 9 (calibrated IDFs; glazing unchanged by calibration). Only U, SHGC and VT enter E+; glass/frame properties are BIM data not used by the simple glazing model.</t>
      </text>
    </comment>
    <comment ref="O1" authorId="0" shapeId="0">
      <text>
        <t>External aluminium blinds: slat 0.30 m, separation 0.50 m, angle 90°, solar reflectance 0.6, always on (see Map_Apertures A14).</t>
      </text>
    </comment>
  </commentList>
</comments>
</file>

<file path=xl/comments/comment5.xml><?xml version="1.0" encoding="utf-8"?>
<comments xmlns="http://schemas.openxmlformats.org/spreadsheetml/2006/main">
  <authors>
    <author>BIM2BEM mapping</author>
  </authors>
  <commentList>
    <comment ref="A1" authorId="0" shapeId="0">
      <text>
        <t>Values exactly as stored in the TBIM (Topologic JSON) cell dictionaries, grouped by occupancy type. 'Undefined' is replaced by the defaults in Map_Spaces column R. Schedule columns come from IfcSpace psets (Altro/Other); 'None' = property missing → default schedule. Multi-valued numbers are shown as 'min–max (n distinct)'.</t>
      </text>
    </comment>
  </commentList>
</comments>
</file>

<file path=xl/comments/comment6.xml><?xml version="1.0" encoding="utf-8"?>
<comments xmlns="http://schemas.openxmlformats.org/spreadsheetml/2006/main">
  <authors>
    <author>BIM2BEM mapping</author>
  </authors>
  <commentList>
    <comment ref="G1" authorId="0" shapeId="0">
      <text>
        <t>Baseline IDF = direct workflow output.</t>
      </text>
    </comment>
    <comment ref="H1" authorId="0" shapeId="0">
      <text>
        <t>Calibrated IDF (manual edit during calibration).</t>
      </text>
    </comment>
    <comment ref="K1" authorId="0" shapeId="0">
      <text>
        <t>Formula: m³/s × 1000.</t>
      </text>
    </comment>
    <comment ref="M1" authorId="0" shapeId="0">
      <text>
        <t>Formula: m³/s × 1000.</t>
      </text>
    </comment>
    <comment ref="T1" authorId="0" shapeId="0">
      <text>
        <t>Baseline: Schedule:Constant 20 °C. Calibrated: Schedule:Compact (see Map_Spaces S22).</t>
      </text>
    </comment>
  </commentList>
</comments>
</file>

<file path=xl/comments/comment7.xml><?xml version="1.0" encoding="utf-8"?>
<comments xmlns="http://schemas.openxmlformats.org/spreadsheetml/2006/main">
  <authors>
    <author>BIM2BEM mapping</author>
  </authors>
  <commentList>
    <comment ref="E1" authorId="0" shapeId="0">
      <text>
        <t>Number of IfcWall/IfcSlab instances whose type name matches this construction.</t>
      </text>
    </comment>
    <comment ref="H1" authorId="0" shapeId="0">
      <text>
        <t>Input (blue). Conventional ISO 6946 surface resistances by category; edit if needed. Ground floor: Rse = 0 (soil not included).</t>
      </text>
    </comment>
    <comment ref="J1" authorId="0" shapeId="0">
      <text>
        <t>Formula: SUMIFS of Val_Layers R = d/λ for this building + construction (as modelled in the IDF, air cavities treated as massive layers).</t>
      </text>
    </comment>
    <comment ref="K1" authorId="0" shapeId="0">
      <text>
        <t>Formula: 1 / (Rsi + R layers + Rse). Indicative steady-state U of the IDF construction; E+ uses its own dynamic film coefficients.</t>
      </text>
    </comment>
  </commentList>
</comments>
</file>

<file path=xl/comments/comment8.xml><?xml version="1.0" encoding="utf-8"?>
<comments xmlns="http://schemas.openxmlformats.org/spreadsheetml/2006/main">
  <authors>
    <author>BIM2BEM mapping</author>
  </authors>
  <commentList>
    <comment ref="C1" authorId="0" shapeId="0">
      <text>
        <t>'HB default' = Generic Double Pane (Low-e 6 mm / air 12.7 mm / clear 6 mm) kept when no BIM glazing data matched the aperture (B09: 23 curtain-wall panels whose TBIM VT 0.58 has no matching construction).</t>
      </text>
    </comment>
  </commentList>
</comments>
</file>

<file path=xl/comments/comment9.xml><?xml version="1.0" encoding="utf-8"?>
<comments xmlns="http://schemas.openxmlformats.org/spreadsheetml/2006/main">
  <authors>
    <author>BIM2BEM mapping</author>
  </authors>
  <commentList>
    <comment ref="C1" authorId="0" shapeId="0">
      <text>
        <t>Lecture-hall schedules A* belong to Building 10, B* to Building 09; both sets are written to both IDFs.</t>
      </text>
    </comment>
    <comment ref="I1" authorId="0" shapeId="0">
      <text>
        <t>Number of People / Lights / ElectricEquipment / IdealLoads availability fields that point to this schedule (baseline IDF).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25"/>
  <cols>
    <col width="26" customWidth="1" min="1" max="1"/>
    <col width="150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 ht="23.25" customHeight="1">
      <c r="A2" s="2" t="inlineStr">
        <is>
          <t>Purpose</t>
        </is>
      </c>
      <c r="B2" s="2" t="inlineStr">
        <is>
          <t>Machine-readable correspondence tables between the TBIM (Topologic JSON), IFC, Honeybee (HB) and EnergyPlus (E+) used by the BIM-to-BEM workflow, plus the values actually present in each model. They extend Tables 7, 8 and 9 of the Appendix of the paper.</t>
        </is>
      </c>
    </row>
    <row r="3" ht="23.25" customHeight="1">
      <c r="A3" s="2" t="inlineStr">
        <is>
          <t>Workflow analysed</t>
        </is>
      </c>
      <c r="B3" s="2" t="inlineStr">
        <is>
          <t>scripts/01_bim_to_bem.py, src/digitmanpy/Operation.py (classes Utils, HB, Eppy, TBIM). The tuning (scripts/02_bem_calibration.py) edits the IDF directly.</t>
        </is>
      </c>
    </row>
    <row r="4" ht="23.25" customHeight="1">
      <c r="A4" s="2" t="inlineStr">
        <is>
          <t>Value sources</t>
        </is>
      </c>
      <c r="B4" s="2" t="inlineStr">
        <is>
          <t>TBIM: data/&lt;building&gt;/&lt;building&gt;_tbim_topologic.json (Cell / Face / Aperture dictionaries).  IFC: *_tbim_ifc_design_transfer_view.ifc (spaces, element types, glazing psets) and *_tbim_ifc_reference_view.ifc (material properties).  E+: models/*_bem_baseline.idf (baseline = direct output of the workflow) and models/*_bem_calibrated.idf (after manual calibration).  Schedules: data/schedules/*.json.</t>
        </is>
      </c>
    </row>
    <row r="5" ht="34.9" customHeight="1">
      <c r="A5" s="2" t="inlineStr">
        <is>
          <t>Author decisions (2026-10-16)</t>
        </is>
      </c>
      <c r="B5" s="2" t="inlineStr">
        <is>
          <t>Report the CALIBRATED model and replace Appendix values with model values, EXCEPT ventilation/infiltration (EN 16798 values already in the paper) and temperature setpoints (values cited in the paper: 20 / 15 °C heating, 26 °C cooling), both kept in Ref_Assumptions. Table 8 = every outer-envelope construction; Table 7 indexed by EnergyPlus zone; Table 9 reports the 23 B09 curtain-wall panels with their BIM glazing (VT 0.58).</t>
        </is>
      </c>
    </row>
    <row r="6">
      <c r="A6" s="2" t="inlineStr">
        <is>
          <t>Sheet: Ref_Assumptions</t>
        </is>
      </c>
      <c r="B6" s="2" t="inlineStr">
        <is>
          <t>Reference ventilation/infiltration inputs (yellow, editable) used by T7, plus AHU-capacity checks.</t>
        </is>
      </c>
    </row>
    <row r="7">
      <c r="A7" s="2" t="inlineStr">
        <is>
          <t>Sheet: T7_Zones / T7_Grouped</t>
        </is>
      </c>
      <c r="B7" s="2" t="inlineStr">
        <is>
          <t>Proposed Appendix Table 7: one row per E+ zone (calibrated IDF) and a condensed version grouping identical zones (for the manuscript).</t>
        </is>
      </c>
    </row>
    <row r="8">
      <c r="A8" s="2" t="inlineStr">
        <is>
          <t>Sheet: T8_Envelope</t>
        </is>
      </c>
      <c r="B8" s="2" t="inlineStr">
        <is>
          <t>Proposed Appendix Table 8: every outer-envelope construction with layers and computed U (live formulas).</t>
        </is>
      </c>
    </row>
    <row r="9">
      <c r="A9" s="2" t="inlineStr">
        <is>
          <t>Sheet: T9_Glazing</t>
        </is>
      </c>
      <c r="B9" s="2" t="inlineStr">
        <is>
          <t>Proposed Appendix Table 9: glazing constructions with U/SHGC/VT, BIM glass/frame data and areas.</t>
        </is>
      </c>
    </row>
    <row r="10">
      <c r="A10" s="2" t="inlineStr">
        <is>
          <t>Sheet: Map_Spaces</t>
        </is>
      </c>
      <c r="B10" s="2" t="inlineStr">
        <is>
          <t>Space / zone properties (Appendix Table 7). One row per property.</t>
        </is>
      </c>
    </row>
    <row r="11">
      <c r="A11" s="2" t="inlineStr">
        <is>
          <t>Sheet: Map_Envelope</t>
        </is>
      </c>
      <c r="B11" s="2" t="inlineStr">
        <is>
          <t>Opaque constructions, materials, surfaces and boundary conditions (Appendix Table 8).</t>
        </is>
      </c>
    </row>
    <row r="12">
      <c r="A12" s="2" t="inlineStr">
        <is>
          <t>Sheet: Map_Apertures</t>
        </is>
      </c>
      <c r="B12" s="2" t="inlineStr">
        <is>
          <t>Windows, doors, curtain walls, blinds (Appendix Table 9).</t>
        </is>
      </c>
    </row>
    <row r="13">
      <c r="A13" s="2" t="inlineStr">
        <is>
          <t>Sheet: Map_Model</t>
        </is>
      </c>
      <c r="B13" s="2" t="inlineStr">
        <is>
          <t>Zoning, geometry, shading, infiltration, HVAC, schedules and simulation settings (not in the Appendix today; candidate Table 10).</t>
        </is>
      </c>
    </row>
    <row r="14">
      <c r="A14" s="2" t="inlineStr">
        <is>
          <t>Sheet: Val_SpaceTypes</t>
        </is>
      </c>
      <c r="B14" s="2" t="inlineStr">
        <is>
          <t>Actual TBIM values per occupancy type and building (what Table 7 'Assigned value' should report).</t>
        </is>
      </c>
    </row>
    <row r="15">
      <c r="A15" s="2" t="inlineStr">
        <is>
          <t>Sheet: Val_Zones</t>
        </is>
      </c>
      <c r="B15" s="2" t="inlineStr">
        <is>
          <t>Actual E+ values per thermal zone, baseline vs calibrated IDF.</t>
        </is>
      </c>
    </row>
    <row r="16" ht="23.25" customHeight="1">
      <c r="A16" s="2" t="inlineStr">
        <is>
          <t>Sheet: Val_Constructions / Val_Layers</t>
        </is>
      </c>
      <c r="B16" s="2" t="inlineStr">
        <is>
          <t>Actual opaque constructions and their layers as written in the IDF; R and U are live formulas.</t>
        </is>
      </c>
    </row>
    <row r="17">
      <c r="A17" s="2" t="inlineStr">
        <is>
          <t>Sheet: Val_Glazing</t>
        </is>
      </c>
      <c r="B17" s="2" t="inlineStr">
        <is>
          <t>Glazing constructions in the IDF and their IFC sources.</t>
        </is>
      </c>
    </row>
    <row r="18">
      <c r="A18" s="2" t="inlineStr">
        <is>
          <t>Sheet: Val_Schedules</t>
        </is>
      </c>
      <c r="B18" s="2" t="inlineStr">
        <is>
          <t>Schedule rulesets (JSON) → Schedule:Compact objects and where they are used.</t>
        </is>
      </c>
    </row>
    <row r="19">
      <c r="A19" s="2" t="inlineStr">
        <is>
          <t>Sheet: Issues_Questions</t>
        </is>
      </c>
      <c r="B19" s="2" t="inlineStr">
        <is>
          <t>Discrepancies between the manuscript and the code/models, with questions for the authors.</t>
        </is>
      </c>
    </row>
    <row r="20">
      <c r="A20" s="2" t="inlineStr">
        <is>
          <t>Column 'In IDF?'</t>
        </is>
      </c>
      <c r="B20" s="2" t="inlineStr">
        <is>
          <t>Yes = value is written to an E+ field; Partial = written with a fixed/default value or only in some cases; No = read or stored but not used by the BEM.</t>
        </is>
      </c>
    </row>
    <row r="21">
      <c r="A21" s="2" t="inlineStr">
        <is>
          <t>Naming</t>
        </is>
      </c>
      <c r="B21" s="2" t="inlineStr">
        <is>
          <t>Topologic keys keep the original spelling used in the models (e.g. 'Trasmittance', 'Heigth', 'Costant') so they can be used as join keys.</t>
        </is>
      </c>
    </row>
    <row r="22">
      <c r="A22" s="2" t="inlineStr">
        <is>
          <t>IFC psets</t>
        </is>
      </c>
      <c r="B22" s="2" t="inlineStr">
        <is>
          <t>Custom TBIM properties are exported by Revit in a free-text pset named 'Altro' (Building 09, Italian UI) or 'Other' (Building 10).</t>
        </is>
      </c>
    </row>
    <row r="23">
      <c r="A23" s="2" t="inlineStr">
        <is>
          <t>Units</t>
        </is>
      </c>
      <c r="B23" s="2" t="inlineStr">
        <is>
          <t>TBIM geometry is in cm; HB/E+ in m (÷100). Ventilation rates are divided by 1000 (L/s → m3/s). See column 'Conversion'.</t>
        </is>
      </c>
    </row>
    <row r="24">
      <c r="A24" s="2" t="inlineStr">
        <is>
          <t>Colour code</t>
        </is>
      </c>
      <c r="B24" s="2" t="inlineStr">
        <is>
          <t>Blue text = editable input/assumption (e.g. surface resistances). Black = data or formula. Green fill / yellow / orange in 'In IDF?' = Yes / Partial / No. Issues are coloured by severity.</t>
        </is>
      </c>
    </row>
    <row r="25">
      <c r="A25" s="2" t="inlineStr">
        <is>
          <t>Generated</t>
        </is>
      </c>
      <c r="B25" s="2" t="inlineStr">
        <is>
          <t>2026-10-16 from the files listed above (no values typed by hand except where a row says 'notebook constant' or 'HB default').</t>
        </is>
      </c>
    </row>
  </sheetData>
  <autoFilter ref="A1:B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25"/>
  <cols>
    <col width="18" customWidth="1" min="1" max="1"/>
    <col width="46" customWidth="1" min="2" max="2"/>
    <col width="10" customWidth="1" min="3" max="3"/>
    <col width="12" customWidth="1" min="4" max="4"/>
    <col width="100" customWidth="1" min="5" max="5"/>
  </cols>
  <sheetData>
    <row r="1">
      <c r="A1" s="1" t="inlineStr">
        <is>
          <t>Key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 / note</t>
        </is>
      </c>
    </row>
    <row r="2">
      <c r="A2" s="2" t="inlineStr">
        <is>
          <t>OA_per_person</t>
        </is>
      </c>
      <c r="B2" s="2" t="inlineStr">
        <is>
          <t>Outdoor air per person (occupied, ventilated zones)</t>
        </is>
      </c>
      <c r="C2" s="3" t="n">
        <v>10</v>
      </c>
      <c r="D2" s="2" t="inlineStr">
        <is>
          <t>L/s·person</t>
        </is>
      </c>
      <c r="E2" s="2" t="inlineStr">
        <is>
          <t>Value reported in the paper (Methods, EN 16798-1 Cat. II); author decision 2026-10-16. Repository IDF: 7 L/s·p.</t>
        </is>
      </c>
    </row>
    <row r="3">
      <c r="A3" s="2" t="inlineStr">
        <is>
          <t>OA_per_area</t>
        </is>
      </c>
      <c r="B3" s="2" t="inlineStr">
        <is>
          <t>Outdoor air per floor area (building emissions)</t>
        </is>
      </c>
      <c r="C3" s="3" t="n">
        <v>0.6</v>
      </c>
      <c r="D3" s="2" t="inlineStr">
        <is>
          <t>L/s·m²</t>
        </is>
      </c>
      <c r="E3" s="2" t="inlineStr">
        <is>
          <t>Value reported in the paper (Methods); author decision 2026-10-16. Repository IDF: TBIM air-change rate written as L/s·m².</t>
        </is>
      </c>
    </row>
    <row r="4">
      <c r="A4" s="2" t="inlineStr">
        <is>
          <t>OA_unoccupied</t>
        </is>
      </c>
      <c r="B4" s="2" t="inlineStr">
        <is>
          <t>Outdoor air when unoccupied / night</t>
        </is>
      </c>
      <c r="C4" s="3" t="n">
        <v>0</v>
      </c>
      <c r="D4" s="2" t="inlineStr">
        <is>
          <t>L/s</t>
        </is>
      </c>
      <c r="E4" s="2" t="inlineStr">
        <is>
          <t>Methods: night-time/unoccupied lower limit = 0 (infiltration only).</t>
        </is>
      </c>
    </row>
    <row r="5">
      <c r="A5" s="2" t="inlineStr">
        <is>
          <t>Infiltration_ACH</t>
        </is>
      </c>
      <c r="B5" s="2" t="inlineStr">
        <is>
          <t>Infiltration (envelope)</t>
        </is>
      </c>
      <c r="C5" s="3" t="n">
        <v>0.3</v>
      </c>
      <c r="D5" s="2" t="inlineStr">
        <is>
          <t>h⁻¹</t>
        </is>
      </c>
      <c r="E5" s="2" t="inlineStr">
        <is>
          <t>Methods: 0.3 ACH. Repository IDF: 0.0001 m³/s per m² exterior surface ('TightBuilding').</t>
        </is>
      </c>
    </row>
    <row r="6">
      <c r="A6" s="2" t="inlineStr">
        <is>
          <t>AHU_cap_B09</t>
        </is>
      </c>
      <c r="B6" s="2" t="inlineStr">
        <is>
          <t>AHU maximum airflow – Building 09</t>
        </is>
      </c>
      <c r="C6" s="3" t="n">
        <v>7200</v>
      </c>
      <c r="D6" s="2" t="inlineStr">
        <is>
          <t>m³/h</t>
        </is>
      </c>
      <c r="E6" s="2" t="inlineStr">
        <is>
          <t>Methods.</t>
        </is>
      </c>
    </row>
    <row r="7">
      <c r="A7" s="2" t="inlineStr">
        <is>
          <t>AHU_cap_B10</t>
        </is>
      </c>
      <c r="B7" s="2" t="inlineStr">
        <is>
          <t>AHU maximum airflow – Building 10</t>
        </is>
      </c>
      <c r="C7" s="3" t="n">
        <v>11000</v>
      </c>
      <c r="D7" s="2" t="inlineStr">
        <is>
          <t>m³/h</t>
        </is>
      </c>
      <c r="E7" s="2" t="inlineStr">
        <is>
          <t>Methods.</t>
        </is>
      </c>
    </row>
    <row r="8" ht="23.25" customHeight="1">
      <c r="A8" s="2" t="inlineStr">
        <is>
          <t>Heating_SP_occupied</t>
        </is>
      </c>
      <c r="B8" s="2" t="inlineStr">
        <is>
          <t>Heating setpoint – occupied</t>
        </is>
      </c>
      <c r="C8" s="3" t="n">
        <v>20</v>
      </c>
      <c r="D8" s="2" t="inlineStr">
        <is>
          <t>°C</t>
        </is>
      </c>
      <c r="E8" s="2" t="inlineStr">
        <is>
          <t>Paper Table 7 (Space Temperature Winter Max, occupied heating setpoint); author decision 2026-10-16. Calibrated IDF: B09 18 °C, B10 22 °C.</t>
        </is>
      </c>
    </row>
    <row r="9">
      <c r="A9" s="2" t="inlineStr">
        <is>
          <t>Heating_SP_setback</t>
        </is>
      </c>
      <c r="B9" s="2" t="inlineStr">
        <is>
          <t>Heating setpoint – night / weekend setback</t>
        </is>
      </c>
      <c r="C9" s="3" t="n">
        <v>15</v>
      </c>
      <c r="D9" s="2" t="inlineStr">
        <is>
          <t>°C</t>
        </is>
      </c>
      <c r="E9" s="2" t="inlineStr">
        <is>
          <t>Paper Table 7 (Space Temperature Winter Min). Calibrated IDF: B09 15 °C, B10 18 °C.</t>
        </is>
      </c>
    </row>
    <row r="10">
      <c r="A10" s="2" t="inlineStr">
        <is>
          <t>Cooling_SP_occupied</t>
        </is>
      </c>
      <c r="B10" s="2" t="inlineStr">
        <is>
          <t>Cooling setpoint – occupied</t>
        </is>
      </c>
      <c r="C10" s="3" t="n">
        <v>26</v>
      </c>
      <c r="D10" s="2" t="inlineStr">
        <is>
          <t>°C</t>
        </is>
      </c>
      <c r="E10" s="2" t="inlineStr">
        <is>
          <t>Paper Table 7 (Space Temperature Summer Max). Calibrated IDF: B09 20 °C, B10 22 °C.</t>
        </is>
      </c>
    </row>
    <row r="11"/>
    <row r="12">
      <c r="A12" s="2" t="inlineStr">
        <is>
          <t>Check</t>
        </is>
      </c>
      <c r="B12" s="2" t="inlineStr">
        <is>
          <t>Sum of design outdoor airflow – B09</t>
        </is>
      </c>
      <c r="C12" s="4">
        <f>SUMIFS(T7_Zones!$U$2:$U$86,T7_Zones!$A$2:$A$86,"B09")</f>
        <v/>
      </c>
      <c r="D12" s="2" t="inlineStr">
        <is>
          <t>m³/h</t>
        </is>
      </c>
      <c r="E12" s="2" t="inlineStr">
        <is>
          <t>Compare with AHU_cap_B09 (C6).</t>
        </is>
      </c>
    </row>
    <row r="13">
      <c r="A13" s="2" t="inlineStr">
        <is>
          <t>Check</t>
        </is>
      </c>
      <c r="B13" s="2" t="inlineStr">
        <is>
          <t>Sum of design outdoor airflow – B10</t>
        </is>
      </c>
      <c r="C13" s="4">
        <f>SUMIFS(T7_Zones!$U$2:$U$86,T7_Zones!$A$2:$A$86,"B10")</f>
        <v/>
      </c>
      <c r="D13" s="2" t="inlineStr">
        <is>
          <t>m³/h</t>
        </is>
      </c>
      <c r="E13" s="2" t="inlineStr">
        <is>
          <t>Compare with AHU_cap_B10 (C7).</t>
        </is>
      </c>
    </row>
    <row r="14">
      <c r="A14" s="2" t="inlineStr">
        <is>
          <t>Check</t>
        </is>
      </c>
      <c r="B14" s="2" t="inlineStr">
        <is>
          <t>Design airflow / AHU capacity – B09</t>
        </is>
      </c>
      <c r="C14" s="5">
        <f>C12/C6</f>
        <v/>
      </c>
      <c r="D14" s="2" t="inlineStr">
        <is>
          <t>–</t>
        </is>
      </c>
      <c r="E14" s="2" t="inlineStr">
        <is>
          <t>&gt; 1 means the AHU cap limits the outdoor air.</t>
        </is>
      </c>
    </row>
    <row r="15">
      <c r="A15" s="2" t="inlineStr">
        <is>
          <t>Check</t>
        </is>
      </c>
      <c r="B15" s="2" t="inlineStr">
        <is>
          <t>Design airflow / AHU capacity – B10</t>
        </is>
      </c>
      <c r="C15" s="5">
        <f>C13/C7</f>
        <v/>
      </c>
      <c r="D15" s="2" t="inlineStr">
        <is>
          <t>–</t>
        </is>
      </c>
      <c r="E15" s="2" t="inlineStr">
        <is>
          <t>&gt; 1 means the AHU cap limits the outdoor air.</t>
        </is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8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25"/>
  <cols>
    <col width="8" customWidth="1" min="1" max="1"/>
    <col width="12" customWidth="1" min="2" max="2"/>
    <col width="30" customWidth="1" min="3" max="3"/>
    <col width="10" customWidth="1" min="4" max="6"/>
    <col width="18" customWidth="1" min="7" max="7"/>
    <col width="10" customWidth="1" min="8" max="8"/>
    <col width="18" customWidth="1" min="9" max="9"/>
    <col width="10" customWidth="1" min="10" max="10"/>
    <col width="18" customWidth="1" min="11" max="11"/>
    <col width="9" customWidth="1" min="12" max="16"/>
    <col width="22" customWidth="1" min="17" max="17"/>
    <col width="9" customWidth="1" min="18" max="18"/>
    <col width="10" customWidth="1" min="19" max="20"/>
    <col width="11" customWidth="1" min="21" max="21"/>
    <col width="10" customWidth="1" min="22" max="22"/>
    <col width="11" customWidth="1" min="23" max="24"/>
    <col width="14" customWidth="1" min="25" max="25"/>
    <col width="11" customWidth="1" min="26" max="26"/>
  </cols>
  <sheetData>
    <row r="1" ht="65.65000000000001" customHeight="1">
      <c r="A1" s="1" t="inlineStr">
        <is>
          <t>Building</t>
        </is>
      </c>
      <c r="B1" s="1" t="inlineStr">
        <is>
          <t>E+ zone</t>
        </is>
      </c>
      <c r="C1" s="1" t="inlineStr">
        <is>
          <t>Zone use (inferred from E+ loads)</t>
        </is>
      </c>
      <c r="D1" s="1" t="inlineStr">
        <is>
          <t>Floor area (m²)</t>
        </is>
      </c>
      <c r="E1" s="1" t="inlineStr">
        <is>
          <t>Occupancy density (person/m²)</t>
        </is>
      </c>
      <c r="F1" s="1" t="inlineStr">
        <is>
          <t>Design occupants (persons)</t>
        </is>
      </c>
      <c r="G1" s="1" t="inlineStr">
        <is>
          <t>Occupancy schedule</t>
        </is>
      </c>
      <c r="H1" s="1" t="inlineStr">
        <is>
          <t>Lighting power density (W/m²)</t>
        </is>
      </c>
      <c r="I1" s="1" t="inlineStr">
        <is>
          <t>Lighting schedule</t>
        </is>
      </c>
      <c r="J1" s="1" t="inlineStr">
        <is>
          <t>Equipment power density (W/m²)</t>
        </is>
      </c>
      <c r="K1" s="1" t="inlineStr">
        <is>
          <t>Equipment schedule</t>
        </is>
      </c>
      <c r="L1" s="1" t="inlineStr">
        <is>
          <t>Heating setpoint occupied (°C) – paper</t>
        </is>
      </c>
      <c r="M1" s="1" t="inlineStr">
        <is>
          <t>Heating setback (°C) – paper</t>
        </is>
      </c>
      <c r="N1" s="1" t="inlineStr">
        <is>
          <t>Cooling setpoint occupied (°C) – paper</t>
        </is>
      </c>
      <c r="O1" s="1" t="inlineStr">
        <is>
          <t>RH max – dehumidification (%)</t>
        </is>
      </c>
      <c r="P1" s="1" t="inlineStr">
        <is>
          <t>RH min – humidification (%)</t>
        </is>
      </c>
      <c r="Q1" s="1" t="inlineStr">
        <is>
          <t>HVAC availability (heating / cooling / ventilation)</t>
        </is>
      </c>
      <c r="R1" s="1" t="inlineStr">
        <is>
          <t>Mechanically ventilated</t>
        </is>
      </c>
      <c r="S1" s="1" t="inlineStr">
        <is>
          <t>OA per person (L/s·p) – reported</t>
        </is>
      </c>
      <c r="T1" s="1" t="inlineStr">
        <is>
          <t>OA per area (L/s·m²) – reported</t>
        </is>
      </c>
      <c r="U1" s="1" t="inlineStr">
        <is>
          <t>Design outdoor airflow (m³/h)</t>
        </is>
      </c>
      <c r="V1" s="1" t="inlineStr">
        <is>
          <t>Infiltration (h⁻¹) – reported</t>
        </is>
      </c>
      <c r="W1" s="1" t="inlineStr">
        <is>
          <t>OA per person in repository IDF (L/s·p)</t>
        </is>
      </c>
      <c r="X1" s="1" t="inlineStr">
        <is>
          <t>TBIM air-change rate written to IDF (h⁻¹)</t>
        </is>
      </c>
      <c r="Y1" s="1" t="inlineStr">
        <is>
          <t>Heating SP in calibrated IDF (occupied / otherwise, °C)</t>
        </is>
      </c>
      <c r="Z1" s="1" t="inlineStr">
        <is>
          <t>Cooling SP in calibrated IDF (°C)</t>
        </is>
      </c>
    </row>
    <row r="2" ht="23.25" customHeight="1">
      <c r="A2" s="2" t="inlineStr">
        <is>
          <t>B09</t>
        </is>
      </c>
      <c r="B2" s="2" t="inlineStr">
        <is>
          <t>debugZone0</t>
        </is>
      </c>
      <c r="C2" s="2" t="inlineStr">
        <is>
          <t>Unconditioned (stairs, shafts, storage, parking) – cell not clustered</t>
        </is>
      </c>
      <c r="D2" s="2" t="n">
        <v>83.06</v>
      </c>
      <c r="E2" s="2" t="n">
        <v>0</v>
      </c>
      <c r="F2" s="19">
        <f>D2*E2</f>
        <v/>
      </c>
      <c r="G2" s="2" t="inlineStr">
        <is>
          <t>OccSch_Unoccupied</t>
        </is>
      </c>
      <c r="H2" s="2" t="n">
        <v>6</v>
      </c>
      <c r="I2" s="2" t="inlineStr">
        <is>
          <t>LghSch_Costant</t>
        </is>
      </c>
      <c r="J2" s="2" t="n">
        <v>2</v>
      </c>
      <c r="K2" s="2" t="inlineStr">
        <is>
          <t>EqpSch_Costant</t>
        </is>
      </c>
      <c r="L2" s="7">
        <f>IF(R2="Yes",Ref_Assumptions!$C$8,"–")</f>
        <v/>
      </c>
      <c r="M2" s="7">
        <f>IF(R2="Yes",Ref_Assumptions!$C$9,"–")</f>
        <v/>
      </c>
      <c r="N2" s="7">
        <f>IF(R2="Yes",Ref_Assumptions!$C$10,"–")</f>
        <v/>
      </c>
      <c r="O2" s="2" t="n">
        <v>70</v>
      </c>
      <c r="P2" s="2" t="n">
        <v>40</v>
      </c>
      <c r="Q2" s="2" t="inlineStr">
        <is>
          <t>Off (AlwaysOff)</t>
        </is>
      </c>
      <c r="R2" s="2" t="inlineStr">
        <is>
          <t>No</t>
        </is>
      </c>
      <c r="S2" s="7">
        <f>IF(R2="Yes",Ref_Assumptions!$C$2,Ref_Assumptions!$C$4)</f>
        <v/>
      </c>
      <c r="T2" s="7">
        <f>IF(R2="Yes",Ref_Assumptions!$C$3,Ref_Assumptions!$C$4)</f>
        <v/>
      </c>
      <c r="U2" s="4">
        <f>(F2*S2+D2*T2)*3.6</f>
        <v/>
      </c>
      <c r="V2" s="7">
        <f>Ref_Assumptions!$C$5</f>
        <v/>
      </c>
      <c r="W2" s="2" t="n">
        <v>0</v>
      </c>
      <c r="X2" s="2" t="n">
        <v>0</v>
      </c>
      <c r="Y2" s="2" t="inlineStr">
        <is>
          <t>18 / 15</t>
        </is>
      </c>
      <c r="Z2" s="2" t="n">
        <v>20</v>
      </c>
    </row>
    <row r="3" ht="23.25" customHeight="1">
      <c r="A3" s="2" t="inlineStr">
        <is>
          <t>B09</t>
        </is>
      </c>
      <c r="B3" s="2" t="inlineStr">
        <is>
          <t>debugZone1</t>
        </is>
      </c>
      <c r="C3" s="2" t="inlineStr">
        <is>
          <t>Unconditioned (stairs, shafts, storage, parking) – cell not clustered</t>
        </is>
      </c>
      <c r="D3" s="2" t="n">
        <v>83.06</v>
      </c>
      <c r="E3" s="2" t="n">
        <v>0</v>
      </c>
      <c r="F3" s="19">
        <f>D3*E3</f>
        <v/>
      </c>
      <c r="G3" s="2" t="inlineStr">
        <is>
          <t>OccSch_Unoccupied</t>
        </is>
      </c>
      <c r="H3" s="2" t="n">
        <v>6</v>
      </c>
      <c r="I3" s="2" t="inlineStr">
        <is>
          <t>LghSch_Costant</t>
        </is>
      </c>
      <c r="J3" s="2" t="n">
        <v>2</v>
      </c>
      <c r="K3" s="2" t="inlineStr">
        <is>
          <t>EqpSch_Costant</t>
        </is>
      </c>
      <c r="L3" s="7">
        <f>IF(R3="Yes",Ref_Assumptions!$C$8,"–")</f>
        <v/>
      </c>
      <c r="M3" s="7">
        <f>IF(R3="Yes",Ref_Assumptions!$C$9,"–")</f>
        <v/>
      </c>
      <c r="N3" s="7">
        <f>IF(R3="Yes",Ref_Assumptions!$C$10,"–")</f>
        <v/>
      </c>
      <c r="O3" s="2" t="n">
        <v>70</v>
      </c>
      <c r="P3" s="2" t="n">
        <v>40</v>
      </c>
      <c r="Q3" s="2" t="inlineStr">
        <is>
          <t>Off (AlwaysOff)</t>
        </is>
      </c>
      <c r="R3" s="2" t="inlineStr">
        <is>
          <t>No</t>
        </is>
      </c>
      <c r="S3" s="7">
        <f>IF(R3="Yes",Ref_Assumptions!$C$2,Ref_Assumptions!$C$4)</f>
        <v/>
      </c>
      <c r="T3" s="7">
        <f>IF(R3="Yes",Ref_Assumptions!$C$3,Ref_Assumptions!$C$4)</f>
        <v/>
      </c>
      <c r="U3" s="4">
        <f>(F3*S3+D3*T3)*3.6</f>
        <v/>
      </c>
      <c r="V3" s="7">
        <f>Ref_Assumptions!$C$5</f>
        <v/>
      </c>
      <c r="W3" s="2" t="n">
        <v>0</v>
      </c>
      <c r="X3" s="2" t="n">
        <v>0</v>
      </c>
      <c r="Y3" s="2" t="inlineStr">
        <is>
          <t>18 / 15</t>
        </is>
      </c>
      <c r="Z3" s="2" t="n">
        <v>20</v>
      </c>
    </row>
    <row r="4" ht="23.25" customHeight="1">
      <c r="A4" s="2" t="inlineStr">
        <is>
          <t>B09</t>
        </is>
      </c>
      <c r="B4" s="2" t="inlineStr">
        <is>
          <t>debugZone10</t>
        </is>
      </c>
      <c r="C4" s="2" t="inlineStr">
        <is>
          <t>Research laboratory – cell not clustered</t>
        </is>
      </c>
      <c r="D4" s="2" t="n">
        <v>37.39</v>
      </c>
      <c r="E4" s="2" t="n">
        <v>0.3</v>
      </c>
      <c r="F4" s="19">
        <f>D4*E4</f>
        <v/>
      </c>
      <c r="G4" s="2" t="inlineStr">
        <is>
          <t>OccSch_Unoccupied</t>
        </is>
      </c>
      <c r="H4" s="2" t="n">
        <v>6</v>
      </c>
      <c r="I4" s="2" t="inlineStr">
        <is>
          <t>LghSch_Costant</t>
        </is>
      </c>
      <c r="J4" s="2" t="n">
        <v>2</v>
      </c>
      <c r="K4" s="2" t="inlineStr">
        <is>
          <t>EqpSch_Costant</t>
        </is>
      </c>
      <c r="L4" s="7">
        <f>IF(R4="Yes",Ref_Assumptions!$C$8,"–")</f>
        <v/>
      </c>
      <c r="M4" s="7">
        <f>IF(R4="Yes",Ref_Assumptions!$C$9,"–")</f>
        <v/>
      </c>
      <c r="N4" s="7">
        <f>IF(R4="Yes",Ref_Assumptions!$C$10,"–")</f>
        <v/>
      </c>
      <c r="O4" s="2" t="n">
        <v>70</v>
      </c>
      <c r="P4" s="2" t="n">
        <v>40</v>
      </c>
      <c r="Q4" s="2" t="inlineStr">
        <is>
          <t>Always on (calibrated AHU schedules = 1)</t>
        </is>
      </c>
      <c r="R4" s="2" t="inlineStr">
        <is>
          <t>Yes</t>
        </is>
      </c>
      <c r="S4" s="7">
        <f>IF(R4="Yes",Ref_Assumptions!$C$2,Ref_Assumptions!$C$4)</f>
        <v/>
      </c>
      <c r="T4" s="7">
        <f>IF(R4="Yes",Ref_Assumptions!$C$3,Ref_Assumptions!$C$4)</f>
        <v/>
      </c>
      <c r="U4" s="4">
        <f>(F4*S4+D4*T4)*3.6</f>
        <v/>
      </c>
      <c r="V4" s="7">
        <f>Ref_Assumptions!$C$5</f>
        <v/>
      </c>
      <c r="W4" s="2" t="n">
        <v>7</v>
      </c>
      <c r="X4" s="2" t="n">
        <v>1.76911</v>
      </c>
      <c r="Y4" s="2" t="inlineStr">
        <is>
          <t>18 / 15</t>
        </is>
      </c>
      <c r="Z4" s="2" t="n">
        <v>20</v>
      </c>
    </row>
    <row r="5" ht="23.25" customHeight="1">
      <c r="A5" s="2" t="inlineStr">
        <is>
          <t>B09</t>
        </is>
      </c>
      <c r="B5" s="2" t="inlineStr">
        <is>
          <t>debugZone11</t>
        </is>
      </c>
      <c r="C5" s="2" t="inlineStr">
        <is>
          <t>Conditioned service / circulation – cell not clustered</t>
        </is>
      </c>
      <c r="D5" s="2" t="n">
        <v>6.46</v>
      </c>
      <c r="E5" s="2" t="n">
        <v>0</v>
      </c>
      <c r="F5" s="19">
        <f>D5*E5</f>
        <v/>
      </c>
      <c r="G5" s="2" t="inlineStr">
        <is>
          <t>OccSch_Unoccupied</t>
        </is>
      </c>
      <c r="H5" s="2" t="n">
        <v>6</v>
      </c>
      <c r="I5" s="2" t="inlineStr">
        <is>
          <t>LghSch_Costant</t>
        </is>
      </c>
      <c r="J5" s="2" t="n">
        <v>2</v>
      </c>
      <c r="K5" s="2" t="inlineStr">
        <is>
          <t>EqpSch_Costant</t>
        </is>
      </c>
      <c r="L5" s="7">
        <f>IF(R5="Yes",Ref_Assumptions!$C$8,"–")</f>
        <v/>
      </c>
      <c r="M5" s="7">
        <f>IF(R5="Yes",Ref_Assumptions!$C$9,"–")</f>
        <v/>
      </c>
      <c r="N5" s="7">
        <f>IF(R5="Yes",Ref_Assumptions!$C$10,"–")</f>
        <v/>
      </c>
      <c r="O5" s="2" t="n">
        <v>70</v>
      </c>
      <c r="P5" s="2" t="n">
        <v>40</v>
      </c>
      <c r="Q5" s="2" t="inlineStr">
        <is>
          <t>Always on (calibrated AHU schedules = 1)</t>
        </is>
      </c>
      <c r="R5" s="2" t="inlineStr">
        <is>
          <t>Yes</t>
        </is>
      </c>
      <c r="S5" s="7">
        <f>IF(R5="Yes",Ref_Assumptions!$C$2,Ref_Assumptions!$C$4)</f>
        <v/>
      </c>
      <c r="T5" s="7">
        <f>IF(R5="Yes",Ref_Assumptions!$C$3,Ref_Assumptions!$C$4)</f>
        <v/>
      </c>
      <c r="U5" s="4">
        <f>(F5*S5+D5*T5)*3.6</f>
        <v/>
      </c>
      <c r="V5" s="7">
        <f>Ref_Assumptions!$C$5</f>
        <v/>
      </c>
      <c r="W5" s="2" t="n">
        <v>0</v>
      </c>
      <c r="X5" s="2" t="n">
        <v>0</v>
      </c>
      <c r="Y5" s="2" t="inlineStr">
        <is>
          <t>18 / 15</t>
        </is>
      </c>
      <c r="Z5" s="2" t="n">
        <v>20</v>
      </c>
    </row>
    <row r="6" ht="23.25" customHeight="1">
      <c r="A6" s="2" t="inlineStr">
        <is>
          <t>B09</t>
        </is>
      </c>
      <c r="B6" s="2" t="inlineStr">
        <is>
          <t>debugZone2</t>
        </is>
      </c>
      <c r="C6" s="2" t="inlineStr">
        <is>
          <t>Unconditioned (stairs, shafts, storage, parking) – cell not clustered</t>
        </is>
      </c>
      <c r="D6" s="2" t="n">
        <v>73.89</v>
      </c>
      <c r="E6" s="2" t="n">
        <v>0</v>
      </c>
      <c r="F6" s="19">
        <f>D6*E6</f>
        <v/>
      </c>
      <c r="G6" s="2" t="inlineStr">
        <is>
          <t>OccSch_Unoccupied</t>
        </is>
      </c>
      <c r="H6" s="2" t="n">
        <v>6</v>
      </c>
      <c r="I6" s="2" t="inlineStr">
        <is>
          <t>LghSch_Costant</t>
        </is>
      </c>
      <c r="J6" s="2" t="n">
        <v>2</v>
      </c>
      <c r="K6" s="2" t="inlineStr">
        <is>
          <t>EqpSch_Costant</t>
        </is>
      </c>
      <c r="L6" s="7">
        <f>IF(R6="Yes",Ref_Assumptions!$C$8,"–")</f>
        <v/>
      </c>
      <c r="M6" s="7">
        <f>IF(R6="Yes",Ref_Assumptions!$C$9,"–")</f>
        <v/>
      </c>
      <c r="N6" s="7">
        <f>IF(R6="Yes",Ref_Assumptions!$C$10,"–")</f>
        <v/>
      </c>
      <c r="O6" s="2" t="n">
        <v>70</v>
      </c>
      <c r="P6" s="2" t="n">
        <v>40</v>
      </c>
      <c r="Q6" s="2" t="inlineStr">
        <is>
          <t>Off (AlwaysOff)</t>
        </is>
      </c>
      <c r="R6" s="2" t="inlineStr">
        <is>
          <t>No</t>
        </is>
      </c>
      <c r="S6" s="7">
        <f>IF(R6="Yes",Ref_Assumptions!$C$2,Ref_Assumptions!$C$4)</f>
        <v/>
      </c>
      <c r="T6" s="7">
        <f>IF(R6="Yes",Ref_Assumptions!$C$3,Ref_Assumptions!$C$4)</f>
        <v/>
      </c>
      <c r="U6" s="4">
        <f>(F6*S6+D6*T6)*3.6</f>
        <v/>
      </c>
      <c r="V6" s="7">
        <f>Ref_Assumptions!$C$5</f>
        <v/>
      </c>
      <c r="W6" s="2" t="n">
        <v>0</v>
      </c>
      <c r="X6" s="2" t="n">
        <v>0</v>
      </c>
      <c r="Y6" s="2" t="inlineStr">
        <is>
          <t>18 / 15</t>
        </is>
      </c>
      <c r="Z6" s="2" t="n">
        <v>20</v>
      </c>
    </row>
    <row r="7" ht="23.25" customHeight="1">
      <c r="A7" s="2" t="inlineStr">
        <is>
          <t>B09</t>
        </is>
      </c>
      <c r="B7" s="2" t="inlineStr">
        <is>
          <t>debugZone3</t>
        </is>
      </c>
      <c r="C7" s="2" t="inlineStr">
        <is>
          <t>Unconditioned (stairs, shafts, storage, parking) – cell not clustered</t>
        </is>
      </c>
      <c r="D7" s="2" t="n">
        <v>31.04</v>
      </c>
      <c r="E7" s="2" t="n">
        <v>0</v>
      </c>
      <c r="F7" s="19">
        <f>D7*E7</f>
        <v/>
      </c>
      <c r="G7" s="2" t="inlineStr">
        <is>
          <t>OccSch_Unoccupied</t>
        </is>
      </c>
      <c r="H7" s="2" t="n">
        <v>6</v>
      </c>
      <c r="I7" s="2" t="inlineStr">
        <is>
          <t>LghSch_Costant</t>
        </is>
      </c>
      <c r="J7" s="2" t="n">
        <v>2</v>
      </c>
      <c r="K7" s="2" t="inlineStr">
        <is>
          <t>EqpSch_Costant</t>
        </is>
      </c>
      <c r="L7" s="7">
        <f>IF(R7="Yes",Ref_Assumptions!$C$8,"–")</f>
        <v/>
      </c>
      <c r="M7" s="7">
        <f>IF(R7="Yes",Ref_Assumptions!$C$9,"–")</f>
        <v/>
      </c>
      <c r="N7" s="7">
        <f>IF(R7="Yes",Ref_Assumptions!$C$10,"–")</f>
        <v/>
      </c>
      <c r="O7" s="2" t="n">
        <v>70</v>
      </c>
      <c r="P7" s="2" t="n">
        <v>40</v>
      </c>
      <c r="Q7" s="2" t="inlineStr">
        <is>
          <t>Off (AlwaysOff)</t>
        </is>
      </c>
      <c r="R7" s="2" t="inlineStr">
        <is>
          <t>No</t>
        </is>
      </c>
      <c r="S7" s="7">
        <f>IF(R7="Yes",Ref_Assumptions!$C$2,Ref_Assumptions!$C$4)</f>
        <v/>
      </c>
      <c r="T7" s="7">
        <f>IF(R7="Yes",Ref_Assumptions!$C$3,Ref_Assumptions!$C$4)</f>
        <v/>
      </c>
      <c r="U7" s="4">
        <f>(F7*S7+D7*T7)*3.6</f>
        <v/>
      </c>
      <c r="V7" s="7">
        <f>Ref_Assumptions!$C$5</f>
        <v/>
      </c>
      <c r="W7" s="2" t="n">
        <v>0</v>
      </c>
      <c r="X7" s="2" t="n">
        <v>0</v>
      </c>
      <c r="Y7" s="2" t="inlineStr">
        <is>
          <t>18 / 15</t>
        </is>
      </c>
      <c r="Z7" s="2" t="n">
        <v>20</v>
      </c>
    </row>
    <row r="8" ht="23.25" customHeight="1">
      <c r="A8" s="2" t="inlineStr">
        <is>
          <t>B09</t>
        </is>
      </c>
      <c r="B8" s="2" t="inlineStr">
        <is>
          <t>debugZone4</t>
        </is>
      </c>
      <c r="C8" s="2" t="inlineStr">
        <is>
          <t>Research laboratory – cell not clustered</t>
        </is>
      </c>
      <c r="D8" s="2" t="n">
        <v>81.83</v>
      </c>
      <c r="E8" s="2" t="n">
        <v>0.3</v>
      </c>
      <c r="F8" s="19">
        <f>D8*E8</f>
        <v/>
      </c>
      <c r="G8" s="2" t="inlineStr">
        <is>
          <t>OccSch_Unoccupied</t>
        </is>
      </c>
      <c r="H8" s="2" t="n">
        <v>6</v>
      </c>
      <c r="I8" s="2" t="inlineStr">
        <is>
          <t>LghSch_Costant</t>
        </is>
      </c>
      <c r="J8" s="2" t="n">
        <v>2</v>
      </c>
      <c r="K8" s="2" t="inlineStr">
        <is>
          <t>EqpSch_Costant</t>
        </is>
      </c>
      <c r="L8" s="7">
        <f>IF(R8="Yes",Ref_Assumptions!$C$8,"–")</f>
        <v/>
      </c>
      <c r="M8" s="7">
        <f>IF(R8="Yes",Ref_Assumptions!$C$9,"–")</f>
        <v/>
      </c>
      <c r="N8" s="7">
        <f>IF(R8="Yes",Ref_Assumptions!$C$10,"–")</f>
        <v/>
      </c>
      <c r="O8" s="2" t="n">
        <v>70</v>
      </c>
      <c r="P8" s="2" t="n">
        <v>40</v>
      </c>
      <c r="Q8" s="2" t="inlineStr">
        <is>
          <t>Always on (calibrated AHU schedules = 1)</t>
        </is>
      </c>
      <c r="R8" s="2" t="inlineStr">
        <is>
          <t>Yes</t>
        </is>
      </c>
      <c r="S8" s="7">
        <f>IF(R8="Yes",Ref_Assumptions!$C$2,Ref_Assumptions!$C$4)</f>
        <v/>
      </c>
      <c r="T8" s="7">
        <f>IF(R8="Yes",Ref_Assumptions!$C$3,Ref_Assumptions!$C$4)</f>
        <v/>
      </c>
      <c r="U8" s="4">
        <f>(F8*S8+D8*T8)*3.6</f>
        <v/>
      </c>
      <c r="V8" s="7">
        <f>Ref_Assumptions!$C$5</f>
        <v/>
      </c>
      <c r="W8" s="2" t="n">
        <v>7</v>
      </c>
      <c r="X8" s="2" t="n">
        <v>1.66298</v>
      </c>
      <c r="Y8" s="2" t="inlineStr">
        <is>
          <t>18 / 15</t>
        </is>
      </c>
      <c r="Z8" s="2" t="n">
        <v>20</v>
      </c>
    </row>
    <row r="9" ht="23.25" customHeight="1">
      <c r="A9" s="2" t="inlineStr">
        <is>
          <t>B09</t>
        </is>
      </c>
      <c r="B9" s="2" t="inlineStr">
        <is>
          <t>debugZone5</t>
        </is>
      </c>
      <c r="C9" s="2" t="inlineStr">
        <is>
          <t>Research laboratory – cell not clustered</t>
        </is>
      </c>
      <c r="D9" s="2" t="n">
        <v>82.54000000000001</v>
      </c>
      <c r="E9" s="2" t="n">
        <v>0.3</v>
      </c>
      <c r="F9" s="19">
        <f>D9*E9</f>
        <v/>
      </c>
      <c r="G9" s="2" t="inlineStr">
        <is>
          <t>OccSch_Unoccupied</t>
        </is>
      </c>
      <c r="H9" s="2" t="n">
        <v>6</v>
      </c>
      <c r="I9" s="2" t="inlineStr">
        <is>
          <t>LghSch_Costant</t>
        </is>
      </c>
      <c r="J9" s="2" t="n">
        <v>2</v>
      </c>
      <c r="K9" s="2" t="inlineStr">
        <is>
          <t>EqpSch_Costant</t>
        </is>
      </c>
      <c r="L9" s="7">
        <f>IF(R9="Yes",Ref_Assumptions!$C$8,"–")</f>
        <v/>
      </c>
      <c r="M9" s="7">
        <f>IF(R9="Yes",Ref_Assumptions!$C$9,"–")</f>
        <v/>
      </c>
      <c r="N9" s="7">
        <f>IF(R9="Yes",Ref_Assumptions!$C$10,"–")</f>
        <v/>
      </c>
      <c r="O9" s="2" t="n">
        <v>70</v>
      </c>
      <c r="P9" s="2" t="n">
        <v>40</v>
      </c>
      <c r="Q9" s="2" t="inlineStr">
        <is>
          <t>Always on (calibrated AHU schedules = 1)</t>
        </is>
      </c>
      <c r="R9" s="2" t="inlineStr">
        <is>
          <t>Yes</t>
        </is>
      </c>
      <c r="S9" s="7">
        <f>IF(R9="Yes",Ref_Assumptions!$C$2,Ref_Assumptions!$C$4)</f>
        <v/>
      </c>
      <c r="T9" s="7">
        <f>IF(R9="Yes",Ref_Assumptions!$C$3,Ref_Assumptions!$C$4)</f>
        <v/>
      </c>
      <c r="U9" s="4">
        <f>(F9*S9+D9*T9)*3.6</f>
        <v/>
      </c>
      <c r="V9" s="7">
        <f>Ref_Assumptions!$C$5</f>
        <v/>
      </c>
      <c r="W9" s="2" t="n">
        <v>7</v>
      </c>
      <c r="X9" s="2" t="n">
        <v>1.48361</v>
      </c>
      <c r="Y9" s="2" t="inlineStr">
        <is>
          <t>18 / 15</t>
        </is>
      </c>
      <c r="Z9" s="2" t="n">
        <v>20</v>
      </c>
    </row>
    <row r="10" ht="23.25" customHeight="1">
      <c r="A10" s="2" t="inlineStr">
        <is>
          <t>B09</t>
        </is>
      </c>
      <c r="B10" s="2" t="inlineStr">
        <is>
          <t>debugZone6</t>
        </is>
      </c>
      <c r="C10" s="2" t="inlineStr">
        <is>
          <t>Research laboratory – cell not clustered</t>
        </is>
      </c>
      <c r="D10" s="2" t="n">
        <v>61</v>
      </c>
      <c r="E10" s="2" t="n">
        <v>0.3</v>
      </c>
      <c r="F10" s="19">
        <f>D10*E10</f>
        <v/>
      </c>
      <c r="G10" s="2" t="inlineStr">
        <is>
          <t>OccSch_Unoccupied</t>
        </is>
      </c>
      <c r="H10" s="2" t="n">
        <v>6</v>
      </c>
      <c r="I10" s="2" t="inlineStr">
        <is>
          <t>LghSch_Costant</t>
        </is>
      </c>
      <c r="J10" s="2" t="n">
        <v>2</v>
      </c>
      <c r="K10" s="2" t="inlineStr">
        <is>
          <t>EqpSch_Costant</t>
        </is>
      </c>
      <c r="L10" s="7">
        <f>IF(R10="Yes",Ref_Assumptions!$C$8,"–")</f>
        <v/>
      </c>
      <c r="M10" s="7">
        <f>IF(R10="Yes",Ref_Assumptions!$C$9,"–")</f>
        <v/>
      </c>
      <c r="N10" s="7">
        <f>IF(R10="Yes",Ref_Assumptions!$C$10,"–")</f>
        <v/>
      </c>
      <c r="O10" s="2" t="n">
        <v>70</v>
      </c>
      <c r="P10" s="2" t="n">
        <v>40</v>
      </c>
      <c r="Q10" s="2" t="inlineStr">
        <is>
          <t>Always on (calibrated AHU schedules = 1)</t>
        </is>
      </c>
      <c r="R10" s="2" t="inlineStr">
        <is>
          <t>Yes</t>
        </is>
      </c>
      <c r="S10" s="7">
        <f>IF(R10="Yes",Ref_Assumptions!$C$2,Ref_Assumptions!$C$4)</f>
        <v/>
      </c>
      <c r="T10" s="7">
        <f>IF(R10="Yes",Ref_Assumptions!$C$3,Ref_Assumptions!$C$4)</f>
        <v/>
      </c>
      <c r="U10" s="4">
        <f>(F10*S10+D10*T10)*3.6</f>
        <v/>
      </c>
      <c r="V10" s="7">
        <f>Ref_Assumptions!$C$5</f>
        <v/>
      </c>
      <c r="W10" s="2" t="n">
        <v>7</v>
      </c>
      <c r="X10" s="2" t="n">
        <v>1.86004</v>
      </c>
      <c r="Y10" s="2" t="inlineStr">
        <is>
          <t>18 / 15</t>
        </is>
      </c>
      <c r="Z10" s="2" t="n">
        <v>20</v>
      </c>
    </row>
    <row r="11" ht="23.25" customHeight="1">
      <c r="A11" s="2" t="inlineStr">
        <is>
          <t>B09</t>
        </is>
      </c>
      <c r="B11" s="2" t="inlineStr">
        <is>
          <t>debugZone7</t>
        </is>
      </c>
      <c r="C11" s="2" t="inlineStr">
        <is>
          <t>Research laboratory – cell not clustered</t>
        </is>
      </c>
      <c r="D11" s="2" t="n">
        <v>43.26</v>
      </c>
      <c r="E11" s="2" t="n">
        <v>0.3</v>
      </c>
      <c r="F11" s="19">
        <f>D11*E11</f>
        <v/>
      </c>
      <c r="G11" s="2" t="inlineStr">
        <is>
          <t>OccSch_Unoccupied</t>
        </is>
      </c>
      <c r="H11" s="2" t="n">
        <v>6</v>
      </c>
      <c r="I11" s="2" t="inlineStr">
        <is>
          <t>LghSch_Costant</t>
        </is>
      </c>
      <c r="J11" s="2" t="n">
        <v>2</v>
      </c>
      <c r="K11" s="2" t="inlineStr">
        <is>
          <t>EqpSch_Costant</t>
        </is>
      </c>
      <c r="L11" s="7">
        <f>IF(R11="Yes",Ref_Assumptions!$C$8,"–")</f>
        <v/>
      </c>
      <c r="M11" s="7">
        <f>IF(R11="Yes",Ref_Assumptions!$C$9,"–")</f>
        <v/>
      </c>
      <c r="N11" s="7">
        <f>IF(R11="Yes",Ref_Assumptions!$C$10,"–")</f>
        <v/>
      </c>
      <c r="O11" s="2" t="n">
        <v>70</v>
      </c>
      <c r="P11" s="2" t="n">
        <v>40</v>
      </c>
      <c r="Q11" s="2" t="inlineStr">
        <is>
          <t>Always on (calibrated AHU schedules = 1)</t>
        </is>
      </c>
      <c r="R11" s="2" t="inlineStr">
        <is>
          <t>Yes</t>
        </is>
      </c>
      <c r="S11" s="7">
        <f>IF(R11="Yes",Ref_Assumptions!$C$2,Ref_Assumptions!$C$4)</f>
        <v/>
      </c>
      <c r="T11" s="7">
        <f>IF(R11="Yes",Ref_Assumptions!$C$3,Ref_Assumptions!$C$4)</f>
        <v/>
      </c>
      <c r="U11" s="4">
        <f>(F11*S11+D11*T11)*3.6</f>
        <v/>
      </c>
      <c r="V11" s="7">
        <f>Ref_Assumptions!$C$5</f>
        <v/>
      </c>
      <c r="W11" s="2" t="n">
        <v>7</v>
      </c>
      <c r="X11" s="2" t="n">
        <v>1.80586</v>
      </c>
      <c r="Y11" s="2" t="inlineStr">
        <is>
          <t>18 / 15</t>
        </is>
      </c>
      <c r="Z11" s="2" t="n">
        <v>20</v>
      </c>
    </row>
    <row r="12" ht="23.25" customHeight="1">
      <c r="A12" s="2" t="inlineStr">
        <is>
          <t>B09</t>
        </is>
      </c>
      <c r="B12" s="2" t="inlineStr">
        <is>
          <t>debugZone8</t>
        </is>
      </c>
      <c r="C12" s="2" t="inlineStr">
        <is>
          <t>Research laboratory – cell not clustered</t>
        </is>
      </c>
      <c r="D12" s="2" t="n">
        <v>46.56</v>
      </c>
      <c r="E12" s="2" t="n">
        <v>0.3</v>
      </c>
      <c r="F12" s="19">
        <f>D12*E12</f>
        <v/>
      </c>
      <c r="G12" s="2" t="inlineStr">
        <is>
          <t>OccSch_Unoccupied</t>
        </is>
      </c>
      <c r="H12" s="2" t="n">
        <v>6</v>
      </c>
      <c r="I12" s="2" t="inlineStr">
        <is>
          <t>LghSch_Costant</t>
        </is>
      </c>
      <c r="J12" s="2" t="n">
        <v>2</v>
      </c>
      <c r="K12" s="2" t="inlineStr">
        <is>
          <t>EqpSch_Costant</t>
        </is>
      </c>
      <c r="L12" s="7">
        <f>IF(R12="Yes",Ref_Assumptions!$C$8,"–")</f>
        <v/>
      </c>
      <c r="M12" s="7">
        <f>IF(R12="Yes",Ref_Assumptions!$C$9,"–")</f>
        <v/>
      </c>
      <c r="N12" s="7">
        <f>IF(R12="Yes",Ref_Assumptions!$C$10,"–")</f>
        <v/>
      </c>
      <c r="O12" s="2" t="n">
        <v>70</v>
      </c>
      <c r="P12" s="2" t="n">
        <v>40</v>
      </c>
      <c r="Q12" s="2" t="inlineStr">
        <is>
          <t>Always on (calibrated AHU schedules = 1)</t>
        </is>
      </c>
      <c r="R12" s="2" t="inlineStr">
        <is>
          <t>Yes</t>
        </is>
      </c>
      <c r="S12" s="7">
        <f>IF(R12="Yes",Ref_Assumptions!$C$2,Ref_Assumptions!$C$4)</f>
        <v/>
      </c>
      <c r="T12" s="7">
        <f>IF(R12="Yes",Ref_Assumptions!$C$3,Ref_Assumptions!$C$4)</f>
        <v/>
      </c>
      <c r="U12" s="4">
        <f>(F12*S12+D12*T12)*3.6</f>
        <v/>
      </c>
      <c r="V12" s="7">
        <f>Ref_Assumptions!$C$5</f>
        <v/>
      </c>
      <c r="W12" s="2" t="n">
        <v>7</v>
      </c>
      <c r="X12" s="2" t="n">
        <v>1.77924</v>
      </c>
      <c r="Y12" s="2" t="inlineStr">
        <is>
          <t>18 / 15</t>
        </is>
      </c>
      <c r="Z12" s="2" t="n">
        <v>20</v>
      </c>
    </row>
    <row r="13" ht="23.25" customHeight="1">
      <c r="A13" s="2" t="inlineStr">
        <is>
          <t>B09</t>
        </is>
      </c>
      <c r="B13" s="2" t="inlineStr">
        <is>
          <t>debugZone9</t>
        </is>
      </c>
      <c r="C13" s="2" t="inlineStr">
        <is>
          <t>Research laboratory – cell not clustered</t>
        </is>
      </c>
      <c r="D13" s="2" t="n">
        <v>47.26</v>
      </c>
      <c r="E13" s="2" t="n">
        <v>0.3</v>
      </c>
      <c r="F13" s="19">
        <f>D13*E13</f>
        <v/>
      </c>
      <c r="G13" s="2" t="inlineStr">
        <is>
          <t>OccSch_Unoccupied</t>
        </is>
      </c>
      <c r="H13" s="2" t="n">
        <v>6</v>
      </c>
      <c r="I13" s="2" t="inlineStr">
        <is>
          <t>LghSch_Costant</t>
        </is>
      </c>
      <c r="J13" s="2" t="n">
        <v>2</v>
      </c>
      <c r="K13" s="2" t="inlineStr">
        <is>
          <t>EqpSch_Costant</t>
        </is>
      </c>
      <c r="L13" s="7">
        <f>IF(R13="Yes",Ref_Assumptions!$C$8,"–")</f>
        <v/>
      </c>
      <c r="M13" s="7">
        <f>IF(R13="Yes",Ref_Assumptions!$C$9,"–")</f>
        <v/>
      </c>
      <c r="N13" s="7">
        <f>IF(R13="Yes",Ref_Assumptions!$C$10,"–")</f>
        <v/>
      </c>
      <c r="O13" s="2" t="n">
        <v>70</v>
      </c>
      <c r="P13" s="2" t="n">
        <v>40</v>
      </c>
      <c r="Q13" s="2" t="inlineStr">
        <is>
          <t>Always on (calibrated AHU schedules = 1)</t>
        </is>
      </c>
      <c r="R13" s="2" t="inlineStr">
        <is>
          <t>Yes</t>
        </is>
      </c>
      <c r="S13" s="7">
        <f>IF(R13="Yes",Ref_Assumptions!$C$2,Ref_Assumptions!$C$4)</f>
        <v/>
      </c>
      <c r="T13" s="7">
        <f>IF(R13="Yes",Ref_Assumptions!$C$3,Ref_Assumptions!$C$4)</f>
        <v/>
      </c>
      <c r="U13" s="4">
        <f>(F13*S13+D13*T13)*3.6</f>
        <v/>
      </c>
      <c r="V13" s="7">
        <f>Ref_Assumptions!$C$5</f>
        <v/>
      </c>
      <c r="W13" s="2" t="n">
        <v>7</v>
      </c>
      <c r="X13" s="2" t="n">
        <v>1.75182</v>
      </c>
      <c r="Y13" s="2" t="inlineStr">
        <is>
          <t>18 / 15</t>
        </is>
      </c>
      <c r="Z13" s="2" t="n">
        <v>20</v>
      </c>
    </row>
    <row r="14" ht="23.25" customHeight="1">
      <c r="A14" s="2" t="inlineStr">
        <is>
          <t>B09</t>
        </is>
      </c>
      <c r="B14" s="2" t="inlineStr">
        <is>
          <t>zone00</t>
        </is>
      </c>
      <c r="C14" s="2" t="inlineStr">
        <is>
          <t>Unconditioned (stairs, shafts, storage, parking)</t>
        </is>
      </c>
      <c r="D14" s="2" t="n">
        <v>1381.74</v>
      </c>
      <c r="E14" s="2" t="n">
        <v>0</v>
      </c>
      <c r="F14" s="19">
        <f>D14*E14</f>
        <v/>
      </c>
      <c r="G14" s="2" t="inlineStr">
        <is>
          <t>OccSch_Unoccupied</t>
        </is>
      </c>
      <c r="H14" s="2" t="n">
        <v>0</v>
      </c>
      <c r="I14" s="2" t="inlineStr">
        <is>
          <t>LghSch_Unoccupied</t>
        </is>
      </c>
      <c r="J14" s="2" t="n">
        <v>0</v>
      </c>
      <c r="K14" s="2" t="inlineStr">
        <is>
          <t>EqpSch_Unoccupied</t>
        </is>
      </c>
      <c r="L14" s="7">
        <f>IF(R14="Yes",Ref_Assumptions!$C$8,"–")</f>
        <v/>
      </c>
      <c r="M14" s="7">
        <f>IF(R14="Yes",Ref_Assumptions!$C$9,"–")</f>
        <v/>
      </c>
      <c r="N14" s="7">
        <f>IF(R14="Yes",Ref_Assumptions!$C$10,"–")</f>
        <v/>
      </c>
      <c r="O14" s="2" t="n">
        <v>100</v>
      </c>
      <c r="P14" s="2" t="n">
        <v>0</v>
      </c>
      <c r="Q14" s="2" t="inlineStr">
        <is>
          <t>Off (AlwaysOff)</t>
        </is>
      </c>
      <c r="R14" s="2" t="inlineStr">
        <is>
          <t>No</t>
        </is>
      </c>
      <c r="S14" s="7">
        <f>IF(R14="Yes",Ref_Assumptions!$C$2,Ref_Assumptions!$C$4)</f>
        <v/>
      </c>
      <c r="T14" s="7">
        <f>IF(R14="Yes",Ref_Assumptions!$C$3,Ref_Assumptions!$C$4)</f>
        <v/>
      </c>
      <c r="U14" s="4">
        <f>(F14*S14+D14*T14)*3.6</f>
        <v/>
      </c>
      <c r="V14" s="7">
        <f>Ref_Assumptions!$C$5</f>
        <v/>
      </c>
      <c r="W14" s="2" t="n">
        <v>0</v>
      </c>
      <c r="X14" s="2" t="n">
        <v>0</v>
      </c>
      <c r="Y14" s="2" t="inlineStr">
        <is>
          <t>18 / 15</t>
        </is>
      </c>
      <c r="Z14" s="2" t="n">
        <v>20</v>
      </c>
    </row>
    <row r="15" ht="23.25" customHeight="1">
      <c r="A15" s="2" t="inlineStr">
        <is>
          <t>B09</t>
        </is>
      </c>
      <c r="B15" s="2" t="inlineStr">
        <is>
          <t>zone01</t>
        </is>
      </c>
      <c r="C15" s="2" t="inlineStr">
        <is>
          <t>Unconditioned (stairs, shafts, storage, parking)</t>
        </is>
      </c>
      <c r="D15" s="2" t="n">
        <v>33.16</v>
      </c>
      <c r="E15" s="2" t="n">
        <v>0</v>
      </c>
      <c r="F15" s="19">
        <f>D15*E15</f>
        <v/>
      </c>
      <c r="G15" s="2" t="inlineStr">
        <is>
          <t>OccSch_Unoccupied</t>
        </is>
      </c>
      <c r="H15" s="2" t="n">
        <v>6</v>
      </c>
      <c r="I15" s="2" t="inlineStr">
        <is>
          <t>LghSch_Costant</t>
        </is>
      </c>
      <c r="J15" s="2" t="n">
        <v>2</v>
      </c>
      <c r="K15" s="2" t="inlineStr">
        <is>
          <t>EqpSch_Costant</t>
        </is>
      </c>
      <c r="L15" s="7">
        <f>IF(R15="Yes",Ref_Assumptions!$C$8,"–")</f>
        <v/>
      </c>
      <c r="M15" s="7">
        <f>IF(R15="Yes",Ref_Assumptions!$C$9,"–")</f>
        <v/>
      </c>
      <c r="N15" s="7">
        <f>IF(R15="Yes",Ref_Assumptions!$C$10,"–")</f>
        <v/>
      </c>
      <c r="O15" s="2" t="n">
        <v>70</v>
      </c>
      <c r="P15" s="2" t="n">
        <v>40</v>
      </c>
      <c r="Q15" s="2" t="inlineStr">
        <is>
          <t>Off (AlwaysOff)</t>
        </is>
      </c>
      <c r="R15" s="2" t="inlineStr">
        <is>
          <t>No</t>
        </is>
      </c>
      <c r="S15" s="7">
        <f>IF(R15="Yes",Ref_Assumptions!$C$2,Ref_Assumptions!$C$4)</f>
        <v/>
      </c>
      <c r="T15" s="7">
        <f>IF(R15="Yes",Ref_Assumptions!$C$3,Ref_Assumptions!$C$4)</f>
        <v/>
      </c>
      <c r="U15" s="4">
        <f>(F15*S15+D15*T15)*3.6</f>
        <v/>
      </c>
      <c r="V15" s="7">
        <f>Ref_Assumptions!$C$5</f>
        <v/>
      </c>
      <c r="W15" s="2" t="n">
        <v>0</v>
      </c>
      <c r="X15" s="2" t="n">
        <v>0</v>
      </c>
      <c r="Y15" s="2" t="inlineStr">
        <is>
          <t>18 / 15</t>
        </is>
      </c>
      <c r="Z15" s="2" t="n">
        <v>20</v>
      </c>
    </row>
    <row r="16" ht="23.25" customHeight="1">
      <c r="A16" s="2" t="inlineStr">
        <is>
          <t>B09</t>
        </is>
      </c>
      <c r="B16" s="2" t="inlineStr">
        <is>
          <t>zone02</t>
        </is>
      </c>
      <c r="C16" s="2" t="inlineStr">
        <is>
          <t>Conditioned service / circulation</t>
        </is>
      </c>
      <c r="D16" s="2" t="n">
        <v>136.45</v>
      </c>
      <c r="E16" s="2" t="n">
        <v>0</v>
      </c>
      <c r="F16" s="19">
        <f>D16*E16</f>
        <v/>
      </c>
      <c r="G16" s="2" t="inlineStr">
        <is>
          <t>OccSch_Unoccupied</t>
        </is>
      </c>
      <c r="H16" s="2" t="n">
        <v>6</v>
      </c>
      <c r="I16" s="2" t="inlineStr">
        <is>
          <t>LghSch_Costant</t>
        </is>
      </c>
      <c r="J16" s="2" t="n">
        <v>2</v>
      </c>
      <c r="K16" s="2" t="inlineStr">
        <is>
          <t>EqpSch_Costant</t>
        </is>
      </c>
      <c r="L16" s="7">
        <f>IF(R16="Yes",Ref_Assumptions!$C$8,"–")</f>
        <v/>
      </c>
      <c r="M16" s="7">
        <f>IF(R16="Yes",Ref_Assumptions!$C$9,"–")</f>
        <v/>
      </c>
      <c r="N16" s="7">
        <f>IF(R16="Yes",Ref_Assumptions!$C$10,"–")</f>
        <v/>
      </c>
      <c r="O16" s="2" t="n">
        <v>70</v>
      </c>
      <c r="P16" s="2" t="n">
        <v>40</v>
      </c>
      <c r="Q16" s="2" t="inlineStr">
        <is>
          <t>Always on (calibrated AHU schedules = 1)</t>
        </is>
      </c>
      <c r="R16" s="2" t="inlineStr">
        <is>
          <t>Yes</t>
        </is>
      </c>
      <c r="S16" s="7">
        <f>IF(R16="Yes",Ref_Assumptions!$C$2,Ref_Assumptions!$C$4)</f>
        <v/>
      </c>
      <c r="T16" s="7">
        <f>IF(R16="Yes",Ref_Assumptions!$C$3,Ref_Assumptions!$C$4)</f>
        <v/>
      </c>
      <c r="U16" s="4">
        <f>(F16*S16+D16*T16)*3.6</f>
        <v/>
      </c>
      <c r="V16" s="7">
        <f>Ref_Assumptions!$C$5</f>
        <v/>
      </c>
      <c r="W16" s="2" t="n">
        <v>0</v>
      </c>
      <c r="X16" s="2" t="n">
        <v>8</v>
      </c>
      <c r="Y16" s="2" t="inlineStr">
        <is>
          <t>18 / 15</t>
        </is>
      </c>
      <c r="Z16" s="2" t="n">
        <v>20</v>
      </c>
    </row>
    <row r="17" ht="23.25" customHeight="1">
      <c r="A17" s="2" t="inlineStr">
        <is>
          <t>B09</t>
        </is>
      </c>
      <c r="B17" s="2" t="inlineStr">
        <is>
          <t>zone03</t>
        </is>
      </c>
      <c r="C17" s="2" t="inlineStr">
        <is>
          <t>Unconditioned (stairs, shafts, storage, parking)</t>
        </is>
      </c>
      <c r="D17" s="2" t="n">
        <v>36.74</v>
      </c>
      <c r="E17" s="2" t="n">
        <v>0</v>
      </c>
      <c r="F17" s="19">
        <f>D17*E17</f>
        <v/>
      </c>
      <c r="G17" s="2" t="inlineStr">
        <is>
          <t>OccSch_Unoccupied</t>
        </is>
      </c>
      <c r="H17" s="2" t="n">
        <v>6</v>
      </c>
      <c r="I17" s="2" t="inlineStr">
        <is>
          <t>AlwaysOff</t>
        </is>
      </c>
      <c r="J17" s="2" t="n">
        <v>0</v>
      </c>
      <c r="K17" s="2" t="inlineStr">
        <is>
          <t>AlwaysOff</t>
        </is>
      </c>
      <c r="L17" s="7">
        <f>IF(R17="Yes",Ref_Assumptions!$C$8,"–")</f>
        <v/>
      </c>
      <c r="M17" s="7">
        <f>IF(R17="Yes",Ref_Assumptions!$C$9,"–")</f>
        <v/>
      </c>
      <c r="N17" s="7">
        <f>IF(R17="Yes",Ref_Assumptions!$C$10,"–")</f>
        <v/>
      </c>
      <c r="O17" s="2" t="n">
        <v>70</v>
      </c>
      <c r="P17" s="2" t="n">
        <v>40</v>
      </c>
      <c r="Q17" s="2" t="inlineStr">
        <is>
          <t>Off (AlwaysOff)</t>
        </is>
      </c>
      <c r="R17" s="2" t="inlineStr">
        <is>
          <t>No</t>
        </is>
      </c>
      <c r="S17" s="7">
        <f>IF(R17="Yes",Ref_Assumptions!$C$2,Ref_Assumptions!$C$4)</f>
        <v/>
      </c>
      <c r="T17" s="7">
        <f>IF(R17="Yes",Ref_Assumptions!$C$3,Ref_Assumptions!$C$4)</f>
        <v/>
      </c>
      <c r="U17" s="4">
        <f>(F17*S17+D17*T17)*3.6</f>
        <v/>
      </c>
      <c r="V17" s="7">
        <f>Ref_Assumptions!$C$5</f>
        <v/>
      </c>
      <c r="W17" s="2" t="n">
        <v>0</v>
      </c>
      <c r="X17" s="2" t="n">
        <v>1</v>
      </c>
      <c r="Y17" s="2" t="inlineStr">
        <is>
          <t>18 / 15</t>
        </is>
      </c>
      <c r="Z17" s="2" t="n">
        <v>20</v>
      </c>
    </row>
    <row r="18" ht="23.25" customHeight="1">
      <c r="A18" s="2" t="inlineStr">
        <is>
          <t>B09</t>
        </is>
      </c>
      <c r="B18" s="2" t="inlineStr">
        <is>
          <t>zone04</t>
        </is>
      </c>
      <c r="C18" s="2" t="inlineStr">
        <is>
          <t>Unconditioned (stairs, shafts, storage, parking)</t>
        </is>
      </c>
      <c r="D18" s="2" t="n">
        <v>1130.23</v>
      </c>
      <c r="E18" s="2" t="n">
        <v>0</v>
      </c>
      <c r="F18" s="19">
        <f>D18*E18</f>
        <v/>
      </c>
      <c r="G18" s="2" t="inlineStr">
        <is>
          <t>OccSch_Unoccupied</t>
        </is>
      </c>
      <c r="H18" s="2" t="n">
        <v>6</v>
      </c>
      <c r="I18" s="2" t="inlineStr">
        <is>
          <t>AlwaysOff</t>
        </is>
      </c>
      <c r="J18" s="2" t="n">
        <v>0</v>
      </c>
      <c r="K18" s="2" t="inlineStr">
        <is>
          <t>AlwaysOff</t>
        </is>
      </c>
      <c r="L18" s="7">
        <f>IF(R18="Yes",Ref_Assumptions!$C$8,"–")</f>
        <v/>
      </c>
      <c r="M18" s="7">
        <f>IF(R18="Yes",Ref_Assumptions!$C$9,"–")</f>
        <v/>
      </c>
      <c r="N18" s="7">
        <f>IF(R18="Yes",Ref_Assumptions!$C$10,"–")</f>
        <v/>
      </c>
      <c r="O18" s="2" t="n">
        <v>70</v>
      </c>
      <c r="P18" s="2" t="n">
        <v>40</v>
      </c>
      <c r="Q18" s="2" t="inlineStr">
        <is>
          <t>Off (AlwaysOff)</t>
        </is>
      </c>
      <c r="R18" s="2" t="inlineStr">
        <is>
          <t>No</t>
        </is>
      </c>
      <c r="S18" s="7">
        <f>IF(R18="Yes",Ref_Assumptions!$C$2,Ref_Assumptions!$C$4)</f>
        <v/>
      </c>
      <c r="T18" s="7">
        <f>IF(R18="Yes",Ref_Assumptions!$C$3,Ref_Assumptions!$C$4)</f>
        <v/>
      </c>
      <c r="U18" s="4">
        <f>(F18*S18+D18*T18)*3.6</f>
        <v/>
      </c>
      <c r="V18" s="7">
        <f>Ref_Assumptions!$C$5</f>
        <v/>
      </c>
      <c r="W18" s="2" t="n">
        <v>0</v>
      </c>
      <c r="X18" s="2" t="n">
        <v>1</v>
      </c>
      <c r="Y18" s="2" t="inlineStr">
        <is>
          <t>18 / 15</t>
        </is>
      </c>
      <c r="Z18" s="2" t="n">
        <v>20</v>
      </c>
    </row>
    <row r="19" ht="23.25" customHeight="1">
      <c r="A19" s="2" t="inlineStr">
        <is>
          <t>B09</t>
        </is>
      </c>
      <c r="B19" s="2" t="inlineStr">
        <is>
          <t>zone05</t>
        </is>
      </c>
      <c r="C19" s="2" t="inlineStr">
        <is>
          <t>Conditioned service / circulation</t>
        </is>
      </c>
      <c r="D19" s="2" t="n">
        <v>38.15</v>
      </c>
      <c r="E19" s="2" t="n">
        <v>0</v>
      </c>
      <c r="F19" s="19">
        <f>D19*E19</f>
        <v/>
      </c>
      <c r="G19" s="2" t="inlineStr">
        <is>
          <t>OccSch_Unoccupied</t>
        </is>
      </c>
      <c r="H19" s="2" t="n">
        <v>6</v>
      </c>
      <c r="I19" s="2" t="inlineStr">
        <is>
          <t>LghSch_Costant</t>
        </is>
      </c>
      <c r="J19" s="2" t="n">
        <v>2</v>
      </c>
      <c r="K19" s="2" t="inlineStr">
        <is>
          <t>EqpSch_Costant</t>
        </is>
      </c>
      <c r="L19" s="7">
        <f>IF(R19="Yes",Ref_Assumptions!$C$8,"–")</f>
        <v/>
      </c>
      <c r="M19" s="7">
        <f>IF(R19="Yes",Ref_Assumptions!$C$9,"–")</f>
        <v/>
      </c>
      <c r="N19" s="7">
        <f>IF(R19="Yes",Ref_Assumptions!$C$10,"–")</f>
        <v/>
      </c>
      <c r="O19" s="2" t="n">
        <v>70</v>
      </c>
      <c r="P19" s="2" t="n">
        <v>40</v>
      </c>
      <c r="Q19" s="2" t="inlineStr">
        <is>
          <t>Always on (calibrated AHU schedules = 1)</t>
        </is>
      </c>
      <c r="R19" s="2" t="inlineStr">
        <is>
          <t>Yes</t>
        </is>
      </c>
      <c r="S19" s="7">
        <f>IF(R19="Yes",Ref_Assumptions!$C$2,Ref_Assumptions!$C$4)</f>
        <v/>
      </c>
      <c r="T19" s="7">
        <f>IF(R19="Yes",Ref_Assumptions!$C$3,Ref_Assumptions!$C$4)</f>
        <v/>
      </c>
      <c r="U19" s="4">
        <f>(F19*S19+D19*T19)*3.6</f>
        <v/>
      </c>
      <c r="V19" s="7">
        <f>Ref_Assumptions!$C$5</f>
        <v/>
      </c>
      <c r="W19" s="2" t="n">
        <v>0</v>
      </c>
      <c r="X19" s="2" t="n">
        <v>0</v>
      </c>
      <c r="Y19" s="2" t="inlineStr">
        <is>
          <t>18 / 15</t>
        </is>
      </c>
      <c r="Z19" s="2" t="n">
        <v>20</v>
      </c>
    </row>
    <row r="20" ht="23.25" customHeight="1">
      <c r="A20" s="2" t="inlineStr">
        <is>
          <t>B09</t>
        </is>
      </c>
      <c r="B20" s="2" t="inlineStr">
        <is>
          <t>zone06</t>
        </is>
      </c>
      <c r="C20" s="2" t="inlineStr">
        <is>
          <t>Conditioned service / circulation</t>
        </is>
      </c>
      <c r="D20" s="2" t="n">
        <v>0</v>
      </c>
      <c r="E20" s="2" t="n">
        <v>0</v>
      </c>
      <c r="F20" s="19">
        <f>D20*E20</f>
        <v/>
      </c>
      <c r="G20" s="2" t="inlineStr">
        <is>
          <t>OccSch_Unoccupied</t>
        </is>
      </c>
      <c r="H20" s="2" t="n">
        <v>6</v>
      </c>
      <c r="I20" s="2" t="inlineStr">
        <is>
          <t>AlwaysOff</t>
        </is>
      </c>
      <c r="J20" s="2" t="n">
        <v>0</v>
      </c>
      <c r="K20" s="2" t="inlineStr">
        <is>
          <t>AlwaysOff</t>
        </is>
      </c>
      <c r="L20" s="7">
        <f>IF(R20="Yes",Ref_Assumptions!$C$8,"–")</f>
        <v/>
      </c>
      <c r="M20" s="7">
        <f>IF(R20="Yes",Ref_Assumptions!$C$9,"–")</f>
        <v/>
      </c>
      <c r="N20" s="7">
        <f>IF(R20="Yes",Ref_Assumptions!$C$10,"–")</f>
        <v/>
      </c>
      <c r="O20" s="2" t="n">
        <v>70</v>
      </c>
      <c r="P20" s="2" t="n">
        <v>40</v>
      </c>
      <c r="Q20" s="2" t="inlineStr">
        <is>
          <t>Always on (calibrated AHU schedules = 1)</t>
        </is>
      </c>
      <c r="R20" s="2" t="inlineStr">
        <is>
          <t>Yes</t>
        </is>
      </c>
      <c r="S20" s="7">
        <f>IF(R20="Yes",Ref_Assumptions!$C$2,Ref_Assumptions!$C$4)</f>
        <v/>
      </c>
      <c r="T20" s="7">
        <f>IF(R20="Yes",Ref_Assumptions!$C$3,Ref_Assumptions!$C$4)</f>
        <v/>
      </c>
      <c r="U20" s="4">
        <f>(F20*S20+D20*T20)*3.6</f>
        <v/>
      </c>
      <c r="V20" s="7">
        <f>Ref_Assumptions!$C$5</f>
        <v/>
      </c>
      <c r="W20" s="2" t="n">
        <v>0</v>
      </c>
      <c r="X20" s="2" t="n">
        <v>0</v>
      </c>
      <c r="Y20" s="2" t="inlineStr">
        <is>
          <t>18 / 15</t>
        </is>
      </c>
      <c r="Z20" s="2" t="n">
        <v>20</v>
      </c>
    </row>
    <row r="21" ht="23.25" customHeight="1">
      <c r="A21" s="2" t="inlineStr">
        <is>
          <t>B09</t>
        </is>
      </c>
      <c r="B21" s="2" t="inlineStr">
        <is>
          <t>zone07</t>
        </is>
      </c>
      <c r="C21" s="2" t="inlineStr">
        <is>
          <t>Unconditioned (stairs, shafts, storage, parking)</t>
        </is>
      </c>
      <c r="D21" s="2" t="n">
        <v>504.16</v>
      </c>
      <c r="E21" s="2" t="n">
        <v>0</v>
      </c>
      <c r="F21" s="19">
        <f>D21*E21</f>
        <v/>
      </c>
      <c r="G21" s="2" t="inlineStr">
        <is>
          <t>OccSch_Unoccupied</t>
        </is>
      </c>
      <c r="H21" s="2" t="n">
        <v>6</v>
      </c>
      <c r="I21" s="2" t="inlineStr">
        <is>
          <t>AlwaysOff</t>
        </is>
      </c>
      <c r="J21" s="2" t="n">
        <v>2</v>
      </c>
      <c r="K21" s="2" t="inlineStr">
        <is>
          <t>AlwaysOff</t>
        </is>
      </c>
      <c r="L21" s="7">
        <f>IF(R21="Yes",Ref_Assumptions!$C$8,"–")</f>
        <v/>
      </c>
      <c r="M21" s="7">
        <f>IF(R21="Yes",Ref_Assumptions!$C$9,"–")</f>
        <v/>
      </c>
      <c r="N21" s="7">
        <f>IF(R21="Yes",Ref_Assumptions!$C$10,"–")</f>
        <v/>
      </c>
      <c r="O21" s="2" t="n">
        <v>70</v>
      </c>
      <c r="P21" s="2" t="n">
        <v>40</v>
      </c>
      <c r="Q21" s="2" t="inlineStr">
        <is>
          <t>Off (AlwaysOff)</t>
        </is>
      </c>
      <c r="R21" s="2" t="inlineStr">
        <is>
          <t>No</t>
        </is>
      </c>
      <c r="S21" s="7">
        <f>IF(R21="Yes",Ref_Assumptions!$C$2,Ref_Assumptions!$C$4)</f>
        <v/>
      </c>
      <c r="T21" s="7">
        <f>IF(R21="Yes",Ref_Assumptions!$C$3,Ref_Assumptions!$C$4)</f>
        <v/>
      </c>
      <c r="U21" s="4">
        <f>(F21*S21+D21*T21)*3.6</f>
        <v/>
      </c>
      <c r="V21" s="7">
        <f>Ref_Assumptions!$C$5</f>
        <v/>
      </c>
      <c r="W21" s="2" t="n">
        <v>0</v>
      </c>
      <c r="X21" s="2" t="n">
        <v>0</v>
      </c>
      <c r="Y21" s="2" t="inlineStr">
        <is>
          <t>18 / 15</t>
        </is>
      </c>
      <c r="Z21" s="2" t="n">
        <v>20</v>
      </c>
    </row>
    <row r="22" ht="23.25" customHeight="1">
      <c r="A22" s="2" t="inlineStr">
        <is>
          <t>B09</t>
        </is>
      </c>
      <c r="B22" s="2" t="inlineStr">
        <is>
          <t>zone08</t>
        </is>
      </c>
      <c r="C22" s="2" t="inlineStr">
        <is>
          <t>Conditioned service / circulation</t>
        </is>
      </c>
      <c r="D22" s="2" t="n">
        <v>5.2</v>
      </c>
      <c r="E22" s="2" t="n">
        <v>0</v>
      </c>
      <c r="F22" s="19">
        <f>D22*E22</f>
        <v/>
      </c>
      <c r="G22" s="2" t="inlineStr">
        <is>
          <t>OccSch_Unoccupied</t>
        </is>
      </c>
      <c r="H22" s="2" t="n">
        <v>6</v>
      </c>
      <c r="I22" s="2" t="inlineStr">
        <is>
          <t>AlwaysOff</t>
        </is>
      </c>
      <c r="J22" s="2" t="n">
        <v>2</v>
      </c>
      <c r="K22" s="2" t="inlineStr">
        <is>
          <t>AlwaysOff</t>
        </is>
      </c>
      <c r="L22" s="7">
        <f>IF(R22="Yes",Ref_Assumptions!$C$8,"–")</f>
        <v/>
      </c>
      <c r="M22" s="7">
        <f>IF(R22="Yes",Ref_Assumptions!$C$9,"–")</f>
        <v/>
      </c>
      <c r="N22" s="7">
        <f>IF(R22="Yes",Ref_Assumptions!$C$10,"–")</f>
        <v/>
      </c>
      <c r="O22" s="2" t="n">
        <v>70</v>
      </c>
      <c r="P22" s="2" t="n">
        <v>40</v>
      </c>
      <c r="Q22" s="2" t="inlineStr">
        <is>
          <t>Always on (calibrated AHU schedules = 1)</t>
        </is>
      </c>
      <c r="R22" s="2" t="inlineStr">
        <is>
          <t>Yes</t>
        </is>
      </c>
      <c r="S22" s="7">
        <f>IF(R22="Yes",Ref_Assumptions!$C$2,Ref_Assumptions!$C$4)</f>
        <v/>
      </c>
      <c r="T22" s="7">
        <f>IF(R22="Yes",Ref_Assumptions!$C$3,Ref_Assumptions!$C$4)</f>
        <v/>
      </c>
      <c r="U22" s="4">
        <f>(F22*S22+D22*T22)*3.6</f>
        <v/>
      </c>
      <c r="V22" s="7">
        <f>Ref_Assumptions!$C$5</f>
        <v/>
      </c>
      <c r="W22" s="2" t="n">
        <v>0</v>
      </c>
      <c r="X22" s="2" t="n">
        <v>0</v>
      </c>
      <c r="Y22" s="2" t="inlineStr">
        <is>
          <t>18 / 15</t>
        </is>
      </c>
      <c r="Z22" s="2" t="n">
        <v>20</v>
      </c>
    </row>
    <row r="23" ht="23.25" customHeight="1">
      <c r="A23" s="2" t="inlineStr">
        <is>
          <t>B09</t>
        </is>
      </c>
      <c r="B23" s="2" t="inlineStr">
        <is>
          <t>zone09</t>
        </is>
      </c>
      <c r="C23" s="2" t="inlineStr">
        <is>
          <t>Lecture hall / study room</t>
        </is>
      </c>
      <c r="D23" s="2" t="n">
        <v>61.15</v>
      </c>
      <c r="E23" s="2" t="n">
        <v>0.6</v>
      </c>
      <c r="F23" s="19">
        <f>D23*E23</f>
        <v/>
      </c>
      <c r="G23" s="2" t="inlineStr">
        <is>
          <t>OccSch_Unoccupied</t>
        </is>
      </c>
      <c r="H23" s="2" t="n">
        <v>6</v>
      </c>
      <c r="I23" s="2" t="inlineStr">
        <is>
          <t>LghSch_Costant</t>
        </is>
      </c>
      <c r="J23" s="2" t="n">
        <v>2</v>
      </c>
      <c r="K23" s="2" t="inlineStr">
        <is>
          <t>EqpSch_Costant</t>
        </is>
      </c>
      <c r="L23" s="7">
        <f>IF(R23="Yes",Ref_Assumptions!$C$8,"–")</f>
        <v/>
      </c>
      <c r="M23" s="7">
        <f>IF(R23="Yes",Ref_Assumptions!$C$9,"–")</f>
        <v/>
      </c>
      <c r="N23" s="7">
        <f>IF(R23="Yes",Ref_Assumptions!$C$10,"–")</f>
        <v/>
      </c>
      <c r="O23" s="2" t="n">
        <v>70</v>
      </c>
      <c r="P23" s="2" t="n">
        <v>40</v>
      </c>
      <c r="Q23" s="2" t="inlineStr">
        <is>
          <t>Always on (calibrated AHU schedules = 1)</t>
        </is>
      </c>
      <c r="R23" s="2" t="inlineStr">
        <is>
          <t>Yes</t>
        </is>
      </c>
      <c r="S23" s="7">
        <f>IF(R23="Yes",Ref_Assumptions!$C$2,Ref_Assumptions!$C$4)</f>
        <v/>
      </c>
      <c r="T23" s="7">
        <f>IF(R23="Yes",Ref_Assumptions!$C$3,Ref_Assumptions!$C$4)</f>
        <v/>
      </c>
      <c r="U23" s="4">
        <f>(F23*S23+D23*T23)*3.6</f>
        <v/>
      </c>
      <c r="V23" s="7">
        <f>Ref_Assumptions!$C$5</f>
        <v/>
      </c>
      <c r="W23" s="2" t="n">
        <v>7</v>
      </c>
      <c r="X23" s="2" t="n">
        <v>3.73838</v>
      </c>
      <c r="Y23" s="2" t="inlineStr">
        <is>
          <t>18 / 15</t>
        </is>
      </c>
      <c r="Z23" s="2" t="n">
        <v>20</v>
      </c>
    </row>
    <row r="24" ht="23.25" customHeight="1">
      <c r="A24" s="2" t="inlineStr">
        <is>
          <t>B09</t>
        </is>
      </c>
      <c r="B24" s="2" t="inlineStr">
        <is>
          <t>zone10</t>
        </is>
      </c>
      <c r="C24" s="2" t="inlineStr">
        <is>
          <t>Unconditioned (stairs, shafts, storage, parking)</t>
        </is>
      </c>
      <c r="D24" s="2" t="n">
        <v>561.96</v>
      </c>
      <c r="E24" s="2" t="n">
        <v>0</v>
      </c>
      <c r="F24" s="19">
        <f>D24*E24</f>
        <v/>
      </c>
      <c r="G24" s="2" t="inlineStr">
        <is>
          <t>OccSch_Unoccupied</t>
        </is>
      </c>
      <c r="H24" s="2" t="n">
        <v>6</v>
      </c>
      <c r="I24" s="2" t="inlineStr">
        <is>
          <t>AlwaysOff</t>
        </is>
      </c>
      <c r="J24" s="2" t="n">
        <v>0</v>
      </c>
      <c r="K24" s="2" t="inlineStr">
        <is>
          <t>AlwaysOff</t>
        </is>
      </c>
      <c r="L24" s="7">
        <f>IF(R24="Yes",Ref_Assumptions!$C$8,"–")</f>
        <v/>
      </c>
      <c r="M24" s="7">
        <f>IF(R24="Yes",Ref_Assumptions!$C$9,"–")</f>
        <v/>
      </c>
      <c r="N24" s="7">
        <f>IF(R24="Yes",Ref_Assumptions!$C$10,"–")</f>
        <v/>
      </c>
      <c r="O24" s="2" t="n">
        <v>70</v>
      </c>
      <c r="P24" s="2" t="n">
        <v>40</v>
      </c>
      <c r="Q24" s="2" t="inlineStr">
        <is>
          <t>Off (AlwaysOff)</t>
        </is>
      </c>
      <c r="R24" s="2" t="inlineStr">
        <is>
          <t>No</t>
        </is>
      </c>
      <c r="S24" s="7">
        <f>IF(R24="Yes",Ref_Assumptions!$C$2,Ref_Assumptions!$C$4)</f>
        <v/>
      </c>
      <c r="T24" s="7">
        <f>IF(R24="Yes",Ref_Assumptions!$C$3,Ref_Assumptions!$C$4)</f>
        <v/>
      </c>
      <c r="U24" s="4">
        <f>(F24*S24+D24*T24)*3.6</f>
        <v/>
      </c>
      <c r="V24" s="7">
        <f>Ref_Assumptions!$C$5</f>
        <v/>
      </c>
      <c r="W24" s="2" t="n">
        <v>0</v>
      </c>
      <c r="X24" s="2" t="n">
        <v>1</v>
      </c>
      <c r="Y24" s="2" t="inlineStr">
        <is>
          <t>18 / 15</t>
        </is>
      </c>
      <c r="Z24" s="2" t="n">
        <v>20</v>
      </c>
    </row>
    <row r="25" ht="23.25" customHeight="1">
      <c r="A25" s="2" t="inlineStr">
        <is>
          <t>B09</t>
        </is>
      </c>
      <c r="B25" s="2" t="inlineStr">
        <is>
          <t>zone11</t>
        </is>
      </c>
      <c r="C25" s="2" t="inlineStr">
        <is>
          <t>Office</t>
        </is>
      </c>
      <c r="D25" s="2" t="n">
        <v>58.92</v>
      </c>
      <c r="E25" s="2" t="n">
        <v>0.12</v>
      </c>
      <c r="F25" s="19">
        <f>D25*E25</f>
        <v/>
      </c>
      <c r="G25" s="2" t="inlineStr">
        <is>
          <t>OccSch_Unoccupied</t>
        </is>
      </c>
      <c r="H25" s="2" t="n">
        <v>7</v>
      </c>
      <c r="I25" s="2" t="inlineStr">
        <is>
          <t>LghSch_Costant</t>
        </is>
      </c>
      <c r="J25" s="2" t="n">
        <v>2</v>
      </c>
      <c r="K25" s="2" t="inlineStr">
        <is>
          <t>EqpSch_Costant</t>
        </is>
      </c>
      <c r="L25" s="7">
        <f>IF(R25="Yes",Ref_Assumptions!$C$8,"–")</f>
        <v/>
      </c>
      <c r="M25" s="7">
        <f>IF(R25="Yes",Ref_Assumptions!$C$9,"–")</f>
        <v/>
      </c>
      <c r="N25" s="7">
        <f>IF(R25="Yes",Ref_Assumptions!$C$10,"–")</f>
        <v/>
      </c>
      <c r="O25" s="2" t="n">
        <v>70</v>
      </c>
      <c r="P25" s="2" t="n">
        <v>40</v>
      </c>
      <c r="Q25" s="2" t="inlineStr">
        <is>
          <t>Always on (calibrated AHU schedules = 1)</t>
        </is>
      </c>
      <c r="R25" s="2" t="inlineStr">
        <is>
          <t>Yes</t>
        </is>
      </c>
      <c r="S25" s="7">
        <f>IF(R25="Yes",Ref_Assumptions!$C$2,Ref_Assumptions!$C$4)</f>
        <v/>
      </c>
      <c r="T25" s="7">
        <f>IF(R25="Yes",Ref_Assumptions!$C$3,Ref_Assumptions!$C$4)</f>
        <v/>
      </c>
      <c r="U25" s="4">
        <f>(F25*S25+D25*T25)*3.6</f>
        <v/>
      </c>
      <c r="V25" s="7">
        <f>Ref_Assumptions!$C$5</f>
        <v/>
      </c>
      <c r="W25" s="2" t="n">
        <v>7</v>
      </c>
      <c r="X25" s="2" t="n">
        <v>0.68599</v>
      </c>
      <c r="Y25" s="2" t="inlineStr">
        <is>
          <t>18 / 15</t>
        </is>
      </c>
      <c r="Z25" s="2" t="n">
        <v>20</v>
      </c>
    </row>
    <row r="26" ht="23.25" customHeight="1">
      <c r="A26" s="2" t="inlineStr">
        <is>
          <t>B09</t>
        </is>
      </c>
      <c r="B26" s="2" t="inlineStr">
        <is>
          <t>zone12-0</t>
        </is>
      </c>
      <c r="C26" s="2" t="inlineStr">
        <is>
          <t>Conditioned service / circulation</t>
        </is>
      </c>
      <c r="D26" s="2" t="n">
        <v>38.15</v>
      </c>
      <c r="E26" s="2" t="n">
        <v>0</v>
      </c>
      <c r="F26" s="19">
        <f>D26*E26</f>
        <v/>
      </c>
      <c r="G26" s="2" t="inlineStr">
        <is>
          <t>OccSch_Unoccupied</t>
        </is>
      </c>
      <c r="H26" s="2" t="n">
        <v>6</v>
      </c>
      <c r="I26" s="2" t="inlineStr">
        <is>
          <t>LghSch_Costant</t>
        </is>
      </c>
      <c r="J26" s="2" t="n">
        <v>2</v>
      </c>
      <c r="K26" s="2" t="inlineStr">
        <is>
          <t>EqpSch_Costant</t>
        </is>
      </c>
      <c r="L26" s="7">
        <f>IF(R26="Yes",Ref_Assumptions!$C$8,"–")</f>
        <v/>
      </c>
      <c r="M26" s="7">
        <f>IF(R26="Yes",Ref_Assumptions!$C$9,"–")</f>
        <v/>
      </c>
      <c r="N26" s="7">
        <f>IF(R26="Yes",Ref_Assumptions!$C$10,"–")</f>
        <v/>
      </c>
      <c r="O26" s="2" t="n">
        <v>70</v>
      </c>
      <c r="P26" s="2" t="n">
        <v>40</v>
      </c>
      <c r="Q26" s="2" t="inlineStr">
        <is>
          <t>Always on (calibrated AHU schedules = 1)</t>
        </is>
      </c>
      <c r="R26" s="2" t="inlineStr">
        <is>
          <t>Yes</t>
        </is>
      </c>
      <c r="S26" s="7">
        <f>IF(R26="Yes",Ref_Assumptions!$C$2,Ref_Assumptions!$C$4)</f>
        <v/>
      </c>
      <c r="T26" s="7">
        <f>IF(R26="Yes",Ref_Assumptions!$C$3,Ref_Assumptions!$C$4)</f>
        <v/>
      </c>
      <c r="U26" s="4">
        <f>(F26*S26+D26*T26)*3.6</f>
        <v/>
      </c>
      <c r="V26" s="7">
        <f>Ref_Assumptions!$C$5</f>
        <v/>
      </c>
      <c r="W26" s="2" t="n">
        <v>0</v>
      </c>
      <c r="X26" s="2" t="n">
        <v>0</v>
      </c>
      <c r="Y26" s="2" t="inlineStr">
        <is>
          <t>18 / 15</t>
        </is>
      </c>
      <c r="Z26" s="2" t="n">
        <v>20</v>
      </c>
    </row>
    <row r="27" ht="23.25" customHeight="1">
      <c r="A27" s="2" t="inlineStr">
        <is>
          <t>B09</t>
        </is>
      </c>
      <c r="B27" s="2" t="inlineStr">
        <is>
          <t>zone12-1</t>
        </is>
      </c>
      <c r="C27" s="2" t="inlineStr">
        <is>
          <t>Unconditioned (stairs, shafts, storage, parking)</t>
        </is>
      </c>
      <c r="D27" s="2" t="n">
        <v>6.89</v>
      </c>
      <c r="E27" s="2" t="n">
        <v>0</v>
      </c>
      <c r="F27" s="19">
        <f>D27*E27</f>
        <v/>
      </c>
      <c r="G27" s="2" t="inlineStr">
        <is>
          <t>OccSch_Unoccupied</t>
        </is>
      </c>
      <c r="H27" s="2" t="n">
        <v>6</v>
      </c>
      <c r="I27" s="2" t="inlineStr">
        <is>
          <t>AlwaysOff</t>
        </is>
      </c>
      <c r="J27" s="2" t="n">
        <v>0</v>
      </c>
      <c r="K27" s="2" t="inlineStr">
        <is>
          <t>AlwaysOff</t>
        </is>
      </c>
      <c r="L27" s="7">
        <f>IF(R27="Yes",Ref_Assumptions!$C$8,"–")</f>
        <v/>
      </c>
      <c r="M27" s="7">
        <f>IF(R27="Yes",Ref_Assumptions!$C$9,"–")</f>
        <v/>
      </c>
      <c r="N27" s="7">
        <f>IF(R27="Yes",Ref_Assumptions!$C$10,"–")</f>
        <v/>
      </c>
      <c r="O27" s="2" t="n">
        <v>70</v>
      </c>
      <c r="P27" s="2" t="n">
        <v>40</v>
      </c>
      <c r="Q27" s="2" t="inlineStr">
        <is>
          <t>Off (AlwaysOff)</t>
        </is>
      </c>
      <c r="R27" s="2" t="inlineStr">
        <is>
          <t>No</t>
        </is>
      </c>
      <c r="S27" s="7">
        <f>IF(R27="Yes",Ref_Assumptions!$C$2,Ref_Assumptions!$C$4)</f>
        <v/>
      </c>
      <c r="T27" s="7">
        <f>IF(R27="Yes",Ref_Assumptions!$C$3,Ref_Assumptions!$C$4)</f>
        <v/>
      </c>
      <c r="U27" s="4">
        <f>(F27*S27+D27*T27)*3.6</f>
        <v/>
      </c>
      <c r="V27" s="7">
        <f>Ref_Assumptions!$C$5</f>
        <v/>
      </c>
      <c r="W27" s="2" t="n">
        <v>0</v>
      </c>
      <c r="X27" s="2" t="n">
        <v>0</v>
      </c>
      <c r="Y27" s="2" t="inlineStr">
        <is>
          <t>18 / 15</t>
        </is>
      </c>
      <c r="Z27" s="2" t="n">
        <v>20</v>
      </c>
    </row>
    <row r="28" ht="23.25" customHeight="1">
      <c r="A28" s="2" t="inlineStr">
        <is>
          <t>B09</t>
        </is>
      </c>
      <c r="B28" s="2" t="inlineStr">
        <is>
          <t>zone12-2</t>
        </is>
      </c>
      <c r="C28" s="2" t="inlineStr">
        <is>
          <t>Conditioned service / circulation</t>
        </is>
      </c>
      <c r="D28" s="2" t="n">
        <v>20.86</v>
      </c>
      <c r="E28" s="2" t="n">
        <v>0</v>
      </c>
      <c r="F28" s="19">
        <f>D28*E28</f>
        <v/>
      </c>
      <c r="G28" s="2" t="inlineStr">
        <is>
          <t>OccSch_Unoccupied</t>
        </is>
      </c>
      <c r="H28" s="2" t="n">
        <v>6</v>
      </c>
      <c r="I28" s="2" t="inlineStr">
        <is>
          <t>LghSch_Costant</t>
        </is>
      </c>
      <c r="J28" s="2" t="n">
        <v>2</v>
      </c>
      <c r="K28" s="2" t="inlineStr">
        <is>
          <t>EqpSch_Costant</t>
        </is>
      </c>
      <c r="L28" s="7">
        <f>IF(R28="Yes",Ref_Assumptions!$C$8,"–")</f>
        <v/>
      </c>
      <c r="M28" s="7">
        <f>IF(R28="Yes",Ref_Assumptions!$C$9,"–")</f>
        <v/>
      </c>
      <c r="N28" s="7">
        <f>IF(R28="Yes",Ref_Assumptions!$C$10,"–")</f>
        <v/>
      </c>
      <c r="O28" s="2" t="n">
        <v>70</v>
      </c>
      <c r="P28" s="2" t="n">
        <v>40</v>
      </c>
      <c r="Q28" s="2" t="inlineStr">
        <is>
          <t>Always on (calibrated AHU schedules = 1)</t>
        </is>
      </c>
      <c r="R28" s="2" t="inlineStr">
        <is>
          <t>Yes</t>
        </is>
      </c>
      <c r="S28" s="7">
        <f>IF(R28="Yes",Ref_Assumptions!$C$2,Ref_Assumptions!$C$4)</f>
        <v/>
      </c>
      <c r="T28" s="7">
        <f>IF(R28="Yes",Ref_Assumptions!$C$3,Ref_Assumptions!$C$4)</f>
        <v/>
      </c>
      <c r="U28" s="4">
        <f>(F28*S28+D28*T28)*3.6</f>
        <v/>
      </c>
      <c r="V28" s="7">
        <f>Ref_Assumptions!$C$5</f>
        <v/>
      </c>
      <c r="W28" s="2" t="n">
        <v>0</v>
      </c>
      <c r="X28" s="2" t="n">
        <v>0</v>
      </c>
      <c r="Y28" s="2" t="inlineStr">
        <is>
          <t>18 / 15</t>
        </is>
      </c>
      <c r="Z28" s="2" t="n">
        <v>20</v>
      </c>
    </row>
    <row r="29" ht="23.25" customHeight="1">
      <c r="A29" s="2" t="inlineStr">
        <is>
          <t>B09</t>
        </is>
      </c>
      <c r="B29" s="2" t="inlineStr">
        <is>
          <t>zone13</t>
        </is>
      </c>
      <c r="C29" s="2" t="inlineStr">
        <is>
          <t>Unconditioned (stairs, shafts, storage, parking)</t>
        </is>
      </c>
      <c r="D29" s="2" t="n">
        <v>70.40000000000001</v>
      </c>
      <c r="E29" s="2" t="n">
        <v>0</v>
      </c>
      <c r="F29" s="19">
        <f>D29*E29</f>
        <v/>
      </c>
      <c r="G29" s="2" t="inlineStr">
        <is>
          <t>OccSch_Unoccupied</t>
        </is>
      </c>
      <c r="H29" s="2" t="n">
        <v>6</v>
      </c>
      <c r="I29" s="2" t="inlineStr">
        <is>
          <t>AlwaysOff</t>
        </is>
      </c>
      <c r="J29" s="2" t="n">
        <v>0</v>
      </c>
      <c r="K29" s="2" t="inlineStr">
        <is>
          <t>AlwaysOff</t>
        </is>
      </c>
      <c r="L29" s="7">
        <f>IF(R29="Yes",Ref_Assumptions!$C$8,"–")</f>
        <v/>
      </c>
      <c r="M29" s="7">
        <f>IF(R29="Yes",Ref_Assumptions!$C$9,"–")</f>
        <v/>
      </c>
      <c r="N29" s="7">
        <f>IF(R29="Yes",Ref_Assumptions!$C$10,"–")</f>
        <v/>
      </c>
      <c r="O29" s="2" t="n">
        <v>70</v>
      </c>
      <c r="P29" s="2" t="n">
        <v>40</v>
      </c>
      <c r="Q29" s="2" t="inlineStr">
        <is>
          <t>Off (AlwaysOff)</t>
        </is>
      </c>
      <c r="R29" s="2" t="inlineStr">
        <is>
          <t>No</t>
        </is>
      </c>
      <c r="S29" s="7">
        <f>IF(R29="Yes",Ref_Assumptions!$C$2,Ref_Assumptions!$C$4)</f>
        <v/>
      </c>
      <c r="T29" s="7">
        <f>IF(R29="Yes",Ref_Assumptions!$C$3,Ref_Assumptions!$C$4)</f>
        <v/>
      </c>
      <c r="U29" s="4">
        <f>(F29*S29+D29*T29)*3.6</f>
        <v/>
      </c>
      <c r="V29" s="7">
        <f>Ref_Assumptions!$C$5</f>
        <v/>
      </c>
      <c r="W29" s="2" t="n">
        <v>0</v>
      </c>
      <c r="X29" s="2" t="n">
        <v>0</v>
      </c>
      <c r="Y29" s="2" t="inlineStr">
        <is>
          <t>18 / 15</t>
        </is>
      </c>
      <c r="Z29" s="2" t="n">
        <v>20</v>
      </c>
    </row>
    <row r="30" ht="23.25" customHeight="1">
      <c r="A30" s="2" t="inlineStr">
        <is>
          <t>B09</t>
        </is>
      </c>
      <c r="B30" s="2" t="inlineStr">
        <is>
          <t>zone14</t>
        </is>
      </c>
      <c r="C30" s="2" t="inlineStr">
        <is>
          <t>Unconditioned (stairs, shafts, storage, parking)</t>
        </is>
      </c>
      <c r="D30" s="2" t="n">
        <v>651.4400000000001</v>
      </c>
      <c r="E30" s="2" t="n">
        <v>0</v>
      </c>
      <c r="F30" s="19">
        <f>D30*E30</f>
        <v/>
      </c>
      <c r="G30" s="2" t="inlineStr">
        <is>
          <t>OccSch_Unoccupied</t>
        </is>
      </c>
      <c r="H30" s="2" t="n">
        <v>6</v>
      </c>
      <c r="I30" s="2" t="inlineStr">
        <is>
          <t>AlwaysOff</t>
        </is>
      </c>
      <c r="J30" s="2" t="n">
        <v>0</v>
      </c>
      <c r="K30" s="2" t="inlineStr">
        <is>
          <t>AlwaysOff</t>
        </is>
      </c>
      <c r="L30" s="7">
        <f>IF(R30="Yes",Ref_Assumptions!$C$8,"–")</f>
        <v/>
      </c>
      <c r="M30" s="7">
        <f>IF(R30="Yes",Ref_Assumptions!$C$9,"–")</f>
        <v/>
      </c>
      <c r="N30" s="7">
        <f>IF(R30="Yes",Ref_Assumptions!$C$10,"–")</f>
        <v/>
      </c>
      <c r="O30" s="2" t="n">
        <v>70</v>
      </c>
      <c r="P30" s="2" t="n">
        <v>40</v>
      </c>
      <c r="Q30" s="2" t="inlineStr">
        <is>
          <t>Off (AlwaysOff)</t>
        </is>
      </c>
      <c r="R30" s="2" t="inlineStr">
        <is>
          <t>No</t>
        </is>
      </c>
      <c r="S30" s="7">
        <f>IF(R30="Yes",Ref_Assumptions!$C$2,Ref_Assumptions!$C$4)</f>
        <v/>
      </c>
      <c r="T30" s="7">
        <f>IF(R30="Yes",Ref_Assumptions!$C$3,Ref_Assumptions!$C$4)</f>
        <v/>
      </c>
      <c r="U30" s="4">
        <f>(F30*S30+D30*T30)*3.6</f>
        <v/>
      </c>
      <c r="V30" s="7">
        <f>Ref_Assumptions!$C$5</f>
        <v/>
      </c>
      <c r="W30" s="2" t="n">
        <v>0</v>
      </c>
      <c r="X30" s="2" t="n">
        <v>0</v>
      </c>
      <c r="Y30" s="2" t="inlineStr">
        <is>
          <t>18 / 15</t>
        </is>
      </c>
      <c r="Z30" s="2" t="n">
        <v>20</v>
      </c>
    </row>
    <row r="31" ht="23.25" customHeight="1">
      <c r="A31" s="2" t="inlineStr">
        <is>
          <t>B09</t>
        </is>
      </c>
      <c r="B31" s="2" t="inlineStr">
        <is>
          <t>zone15</t>
        </is>
      </c>
      <c r="C31" s="2" t="inlineStr">
        <is>
          <t>Lecture hall / study room</t>
        </is>
      </c>
      <c r="D31" s="2" t="n">
        <v>109.8</v>
      </c>
      <c r="E31" s="2" t="n">
        <v>0.6</v>
      </c>
      <c r="F31" s="19">
        <f>D31*E31</f>
        <v/>
      </c>
      <c r="G31" s="2" t="inlineStr">
        <is>
          <t>OccSch_B0.1</t>
        </is>
      </c>
      <c r="H31" s="2" t="n">
        <v>6</v>
      </c>
      <c r="I31" s="2" t="inlineStr">
        <is>
          <t>LghSch_Costant</t>
        </is>
      </c>
      <c r="J31" s="2" t="n">
        <v>2</v>
      </c>
      <c r="K31" s="2" t="inlineStr">
        <is>
          <t>EqpSch_Costant</t>
        </is>
      </c>
      <c r="L31" s="7">
        <f>IF(R31="Yes",Ref_Assumptions!$C$8,"–")</f>
        <v/>
      </c>
      <c r="M31" s="7">
        <f>IF(R31="Yes",Ref_Assumptions!$C$9,"–")</f>
        <v/>
      </c>
      <c r="N31" s="7">
        <f>IF(R31="Yes",Ref_Assumptions!$C$10,"–")</f>
        <v/>
      </c>
      <c r="O31" s="2" t="n">
        <v>70</v>
      </c>
      <c r="P31" s="2" t="n">
        <v>40</v>
      </c>
      <c r="Q31" s="2" t="inlineStr">
        <is>
          <t>Always on (calibrated AHU schedules = 1)</t>
        </is>
      </c>
      <c r="R31" s="2" t="inlineStr">
        <is>
          <t>Yes</t>
        </is>
      </c>
      <c r="S31" s="7">
        <f>IF(R31="Yes",Ref_Assumptions!$C$2,Ref_Assumptions!$C$4)</f>
        <v/>
      </c>
      <c r="T31" s="7">
        <f>IF(R31="Yes",Ref_Assumptions!$C$3,Ref_Assumptions!$C$4)</f>
        <v/>
      </c>
      <c r="U31" s="4">
        <f>(F31*S31+D31*T31)*3.6</f>
        <v/>
      </c>
      <c r="V31" s="7">
        <f>Ref_Assumptions!$C$5</f>
        <v/>
      </c>
      <c r="W31" s="2" t="n">
        <v>7</v>
      </c>
      <c r="X31" s="2" t="n">
        <v>5.26421</v>
      </c>
      <c r="Y31" s="2" t="inlineStr">
        <is>
          <t>18 / 15</t>
        </is>
      </c>
      <c r="Z31" s="2" t="n">
        <v>20</v>
      </c>
    </row>
    <row r="32" ht="23.25" customHeight="1">
      <c r="A32" s="2" t="inlineStr">
        <is>
          <t>B09</t>
        </is>
      </c>
      <c r="B32" s="2" t="inlineStr">
        <is>
          <t>zone16</t>
        </is>
      </c>
      <c r="C32" s="2" t="inlineStr">
        <is>
          <t>Research laboratory</t>
        </is>
      </c>
      <c r="D32" s="2" t="n">
        <v>18.92</v>
      </c>
      <c r="E32" s="2" t="n">
        <v>0.3</v>
      </c>
      <c r="F32" s="19">
        <f>D32*E32</f>
        <v/>
      </c>
      <c r="G32" s="2" t="inlineStr">
        <is>
          <t>OccSch_Unoccupied</t>
        </is>
      </c>
      <c r="H32" s="2" t="n">
        <v>6</v>
      </c>
      <c r="I32" s="2" t="inlineStr">
        <is>
          <t>LghSch_Costant</t>
        </is>
      </c>
      <c r="J32" s="2" t="n">
        <v>2</v>
      </c>
      <c r="K32" s="2" t="inlineStr">
        <is>
          <t>EqpSch_Costant</t>
        </is>
      </c>
      <c r="L32" s="7">
        <f>IF(R32="Yes",Ref_Assumptions!$C$8,"–")</f>
        <v/>
      </c>
      <c r="M32" s="7">
        <f>IF(R32="Yes",Ref_Assumptions!$C$9,"–")</f>
        <v/>
      </c>
      <c r="N32" s="7">
        <f>IF(R32="Yes",Ref_Assumptions!$C$10,"–")</f>
        <v/>
      </c>
      <c r="O32" s="2" t="n">
        <v>70</v>
      </c>
      <c r="P32" s="2" t="n">
        <v>40</v>
      </c>
      <c r="Q32" s="2" t="inlineStr">
        <is>
          <t>Always on (calibrated AHU schedules = 1)</t>
        </is>
      </c>
      <c r="R32" s="2" t="inlineStr">
        <is>
          <t>Yes</t>
        </is>
      </c>
      <c r="S32" s="7">
        <f>IF(R32="Yes",Ref_Assumptions!$C$2,Ref_Assumptions!$C$4)</f>
        <v/>
      </c>
      <c r="T32" s="7">
        <f>IF(R32="Yes",Ref_Assumptions!$C$3,Ref_Assumptions!$C$4)</f>
        <v/>
      </c>
      <c r="U32" s="4">
        <f>(F32*S32+D32*T32)*3.6</f>
        <v/>
      </c>
      <c r="V32" s="7">
        <f>Ref_Assumptions!$C$5</f>
        <v/>
      </c>
      <c r="W32" s="2" t="n">
        <v>7</v>
      </c>
      <c r="X32" s="2" t="n">
        <v>1.86335</v>
      </c>
      <c r="Y32" s="2" t="inlineStr">
        <is>
          <t>18 / 15</t>
        </is>
      </c>
      <c r="Z32" s="2" t="n">
        <v>20</v>
      </c>
    </row>
    <row r="33" ht="23.25" customHeight="1">
      <c r="A33" s="2" t="inlineStr">
        <is>
          <t>B09</t>
        </is>
      </c>
      <c r="B33" s="2" t="inlineStr">
        <is>
          <t>zone17</t>
        </is>
      </c>
      <c r="C33" s="2" t="inlineStr">
        <is>
          <t>Research laboratory</t>
        </is>
      </c>
      <c r="D33" s="2" t="n">
        <v>59.15</v>
      </c>
      <c r="E33" s="2" t="n">
        <v>0.3</v>
      </c>
      <c r="F33" s="19">
        <f>D33*E33</f>
        <v/>
      </c>
      <c r="G33" s="2" t="inlineStr">
        <is>
          <t>OccSch_Unoccupied</t>
        </is>
      </c>
      <c r="H33" s="2" t="n">
        <v>6</v>
      </c>
      <c r="I33" s="2" t="inlineStr">
        <is>
          <t>LghSch_Costant</t>
        </is>
      </c>
      <c r="J33" s="2" t="n">
        <v>2</v>
      </c>
      <c r="K33" s="2" t="inlineStr">
        <is>
          <t>EqpSch_Costant</t>
        </is>
      </c>
      <c r="L33" s="7">
        <f>IF(R33="Yes",Ref_Assumptions!$C$8,"–")</f>
        <v/>
      </c>
      <c r="M33" s="7">
        <f>IF(R33="Yes",Ref_Assumptions!$C$9,"–")</f>
        <v/>
      </c>
      <c r="N33" s="7">
        <f>IF(R33="Yes",Ref_Assumptions!$C$10,"–")</f>
        <v/>
      </c>
      <c r="O33" s="2" t="n">
        <v>70</v>
      </c>
      <c r="P33" s="2" t="n">
        <v>40</v>
      </c>
      <c r="Q33" s="2" t="inlineStr">
        <is>
          <t>Always on (calibrated AHU schedules = 1)</t>
        </is>
      </c>
      <c r="R33" s="2" t="inlineStr">
        <is>
          <t>Yes</t>
        </is>
      </c>
      <c r="S33" s="7">
        <f>IF(R33="Yes",Ref_Assumptions!$C$2,Ref_Assumptions!$C$4)</f>
        <v/>
      </c>
      <c r="T33" s="7">
        <f>IF(R33="Yes",Ref_Assumptions!$C$3,Ref_Assumptions!$C$4)</f>
        <v/>
      </c>
      <c r="U33" s="4">
        <f>(F33*S33+D33*T33)*3.6</f>
        <v/>
      </c>
      <c r="V33" s="7">
        <f>Ref_Assumptions!$C$5</f>
        <v/>
      </c>
      <c r="W33" s="2" t="n">
        <v>7</v>
      </c>
      <c r="X33" s="2" t="n">
        <v>1.79256</v>
      </c>
      <c r="Y33" s="2" t="inlineStr">
        <is>
          <t>18 / 15</t>
        </is>
      </c>
      <c r="Z33" s="2" t="n">
        <v>20</v>
      </c>
    </row>
    <row r="34" ht="23.25" customHeight="1">
      <c r="A34" s="2" t="inlineStr">
        <is>
          <t>B09</t>
        </is>
      </c>
      <c r="B34" s="2" t="inlineStr">
        <is>
          <t>zone18</t>
        </is>
      </c>
      <c r="C34" s="2" t="inlineStr">
        <is>
          <t>Research laboratory</t>
        </is>
      </c>
      <c r="D34" s="2" t="n">
        <v>121.81</v>
      </c>
      <c r="E34" s="2" t="n">
        <v>0.3</v>
      </c>
      <c r="F34" s="19">
        <f>D34*E34</f>
        <v/>
      </c>
      <c r="G34" s="2" t="inlineStr">
        <is>
          <t>OccSch_Unoccupied</t>
        </is>
      </c>
      <c r="H34" s="2" t="n">
        <v>6</v>
      </c>
      <c r="I34" s="2" t="inlineStr">
        <is>
          <t>LghSch_Costant</t>
        </is>
      </c>
      <c r="J34" s="2" t="n">
        <v>2</v>
      </c>
      <c r="K34" s="2" t="inlineStr">
        <is>
          <t>EqpSch_Costant</t>
        </is>
      </c>
      <c r="L34" s="7">
        <f>IF(R34="Yes",Ref_Assumptions!$C$8,"–")</f>
        <v/>
      </c>
      <c r="M34" s="7">
        <f>IF(R34="Yes",Ref_Assumptions!$C$9,"–")</f>
        <v/>
      </c>
      <c r="N34" s="7">
        <f>IF(R34="Yes",Ref_Assumptions!$C$10,"–")</f>
        <v/>
      </c>
      <c r="O34" s="2" t="n">
        <v>70</v>
      </c>
      <c r="P34" s="2" t="n">
        <v>40</v>
      </c>
      <c r="Q34" s="2" t="inlineStr">
        <is>
          <t>Always on (calibrated AHU schedules = 1)</t>
        </is>
      </c>
      <c r="R34" s="2" t="inlineStr">
        <is>
          <t>Yes</t>
        </is>
      </c>
      <c r="S34" s="7">
        <f>IF(R34="Yes",Ref_Assumptions!$C$2,Ref_Assumptions!$C$4)</f>
        <v/>
      </c>
      <c r="T34" s="7">
        <f>IF(R34="Yes",Ref_Assumptions!$C$3,Ref_Assumptions!$C$4)</f>
        <v/>
      </c>
      <c r="U34" s="4">
        <f>(F34*S34+D34*T34)*3.6</f>
        <v/>
      </c>
      <c r="V34" s="7">
        <f>Ref_Assumptions!$C$5</f>
        <v/>
      </c>
      <c r="W34" s="2" t="n">
        <v>7</v>
      </c>
      <c r="X34" s="2" t="n">
        <v>1.76183</v>
      </c>
      <c r="Y34" s="2" t="inlineStr">
        <is>
          <t>18 / 15</t>
        </is>
      </c>
      <c r="Z34" s="2" t="n">
        <v>20</v>
      </c>
    </row>
    <row r="35" ht="23.25" customHeight="1">
      <c r="A35" s="2" t="inlineStr">
        <is>
          <t>B09</t>
        </is>
      </c>
      <c r="B35" s="2" t="inlineStr">
        <is>
          <t>zone19</t>
        </is>
      </c>
      <c r="C35" s="2" t="inlineStr">
        <is>
          <t>Research laboratory</t>
        </is>
      </c>
      <c r="D35" s="2" t="n">
        <v>39.96</v>
      </c>
      <c r="E35" s="2" t="n">
        <v>0.3</v>
      </c>
      <c r="F35" s="19">
        <f>D35*E35</f>
        <v/>
      </c>
      <c r="G35" s="2" t="inlineStr">
        <is>
          <t>OccSch_Unoccupied</t>
        </is>
      </c>
      <c r="H35" s="2" t="n">
        <v>6</v>
      </c>
      <c r="I35" s="2" t="inlineStr">
        <is>
          <t>LghSch_Costant</t>
        </is>
      </c>
      <c r="J35" s="2" t="n">
        <v>2</v>
      </c>
      <c r="K35" s="2" t="inlineStr">
        <is>
          <t>EqpSch_Costant</t>
        </is>
      </c>
      <c r="L35" s="7">
        <f>IF(R35="Yes",Ref_Assumptions!$C$8,"–")</f>
        <v/>
      </c>
      <c r="M35" s="7">
        <f>IF(R35="Yes",Ref_Assumptions!$C$9,"–")</f>
        <v/>
      </c>
      <c r="N35" s="7">
        <f>IF(R35="Yes",Ref_Assumptions!$C$10,"–")</f>
        <v/>
      </c>
      <c r="O35" s="2" t="n">
        <v>70</v>
      </c>
      <c r="P35" s="2" t="n">
        <v>40</v>
      </c>
      <c r="Q35" s="2" t="inlineStr">
        <is>
          <t>Always on (calibrated AHU schedules = 1)</t>
        </is>
      </c>
      <c r="R35" s="2" t="inlineStr">
        <is>
          <t>Yes</t>
        </is>
      </c>
      <c r="S35" s="7">
        <f>IF(R35="Yes",Ref_Assumptions!$C$2,Ref_Assumptions!$C$4)</f>
        <v/>
      </c>
      <c r="T35" s="7">
        <f>IF(R35="Yes",Ref_Assumptions!$C$3,Ref_Assumptions!$C$4)</f>
        <v/>
      </c>
      <c r="U35" s="4">
        <f>(F35*S35+D35*T35)*3.6</f>
        <v/>
      </c>
      <c r="V35" s="7">
        <f>Ref_Assumptions!$C$5</f>
        <v/>
      </c>
      <c r="W35" s="2" t="n">
        <v>7</v>
      </c>
      <c r="X35" s="2" t="n">
        <v>1.68506</v>
      </c>
      <c r="Y35" s="2" t="inlineStr">
        <is>
          <t>18 / 15</t>
        </is>
      </c>
      <c r="Z35" s="2" t="n">
        <v>20</v>
      </c>
    </row>
    <row r="36" ht="23.25" customHeight="1">
      <c r="A36" s="2" t="inlineStr">
        <is>
          <t>B09</t>
        </is>
      </c>
      <c r="B36" s="2" t="inlineStr">
        <is>
          <t>zone20</t>
        </is>
      </c>
      <c r="C36" s="2" t="inlineStr">
        <is>
          <t>Research laboratory</t>
        </is>
      </c>
      <c r="D36" s="2" t="n">
        <v>22.76</v>
      </c>
      <c r="E36" s="2" t="n">
        <v>0.3</v>
      </c>
      <c r="F36" s="19">
        <f>D36*E36</f>
        <v/>
      </c>
      <c r="G36" s="2" t="inlineStr">
        <is>
          <t>OccSch_Unoccupied</t>
        </is>
      </c>
      <c r="H36" s="2" t="n">
        <v>6</v>
      </c>
      <c r="I36" s="2" t="inlineStr">
        <is>
          <t>LghSch_Costant</t>
        </is>
      </c>
      <c r="J36" s="2" t="n">
        <v>2</v>
      </c>
      <c r="K36" s="2" t="inlineStr">
        <is>
          <t>EqpSch_Costant</t>
        </is>
      </c>
      <c r="L36" s="7">
        <f>IF(R36="Yes",Ref_Assumptions!$C$8,"–")</f>
        <v/>
      </c>
      <c r="M36" s="7">
        <f>IF(R36="Yes",Ref_Assumptions!$C$9,"–")</f>
        <v/>
      </c>
      <c r="N36" s="7">
        <f>IF(R36="Yes",Ref_Assumptions!$C$10,"–")</f>
        <v/>
      </c>
      <c r="O36" s="2" t="n">
        <v>70</v>
      </c>
      <c r="P36" s="2" t="n">
        <v>40</v>
      </c>
      <c r="Q36" s="2" t="inlineStr">
        <is>
          <t>Always on (calibrated AHU schedules = 1)</t>
        </is>
      </c>
      <c r="R36" s="2" t="inlineStr">
        <is>
          <t>Yes</t>
        </is>
      </c>
      <c r="S36" s="7">
        <f>IF(R36="Yes",Ref_Assumptions!$C$2,Ref_Assumptions!$C$4)</f>
        <v/>
      </c>
      <c r="T36" s="7">
        <f>IF(R36="Yes",Ref_Assumptions!$C$3,Ref_Assumptions!$C$4)</f>
        <v/>
      </c>
      <c r="U36" s="4">
        <f>(F36*S36+D36*T36)*3.6</f>
        <v/>
      </c>
      <c r="V36" s="7">
        <f>Ref_Assumptions!$C$5</f>
        <v/>
      </c>
      <c r="W36" s="2" t="n">
        <v>7</v>
      </c>
      <c r="X36" s="2" t="n">
        <v>1.47905</v>
      </c>
      <c r="Y36" s="2" t="inlineStr">
        <is>
          <t>18 / 15</t>
        </is>
      </c>
      <c r="Z36" s="2" t="n">
        <v>20</v>
      </c>
    </row>
    <row r="37" ht="23.25" customHeight="1">
      <c r="A37" s="2" t="inlineStr">
        <is>
          <t>B09</t>
        </is>
      </c>
      <c r="B37" s="2" t="inlineStr">
        <is>
          <t>zone21</t>
        </is>
      </c>
      <c r="C37" s="2" t="inlineStr">
        <is>
          <t>Lecture hall / study room</t>
        </is>
      </c>
      <c r="D37" s="2" t="n">
        <v>181.84</v>
      </c>
      <c r="E37" s="2" t="n">
        <v>0.6</v>
      </c>
      <c r="F37" s="19">
        <f>D37*E37</f>
        <v/>
      </c>
      <c r="G37" s="2" t="inlineStr">
        <is>
          <t>OccSch_B2.3</t>
        </is>
      </c>
      <c r="H37" s="2" t="n">
        <v>6</v>
      </c>
      <c r="I37" s="2" t="inlineStr">
        <is>
          <t>LghSch_Costant</t>
        </is>
      </c>
      <c r="J37" s="2" t="n">
        <v>2</v>
      </c>
      <c r="K37" s="2" t="inlineStr">
        <is>
          <t>EqpSch_Costant</t>
        </is>
      </c>
      <c r="L37" s="7">
        <f>IF(R37="Yes",Ref_Assumptions!$C$8,"–")</f>
        <v/>
      </c>
      <c r="M37" s="7">
        <f>IF(R37="Yes",Ref_Assumptions!$C$9,"–")</f>
        <v/>
      </c>
      <c r="N37" s="7">
        <f>IF(R37="Yes",Ref_Assumptions!$C$10,"–")</f>
        <v/>
      </c>
      <c r="O37" s="2" t="n">
        <v>70</v>
      </c>
      <c r="P37" s="2" t="n">
        <v>40</v>
      </c>
      <c r="Q37" s="2" t="inlineStr">
        <is>
          <t>Always on (calibrated AHU schedules = 1)</t>
        </is>
      </c>
      <c r="R37" s="2" t="inlineStr">
        <is>
          <t>Yes</t>
        </is>
      </c>
      <c r="S37" s="7">
        <f>IF(R37="Yes",Ref_Assumptions!$C$2,Ref_Assumptions!$C$4)</f>
        <v/>
      </c>
      <c r="T37" s="7">
        <f>IF(R37="Yes",Ref_Assumptions!$C$3,Ref_Assumptions!$C$4)</f>
        <v/>
      </c>
      <c r="U37" s="4">
        <f>(F37*S37+D37*T37)*3.6</f>
        <v/>
      </c>
      <c r="V37" s="7">
        <f>Ref_Assumptions!$C$5</f>
        <v/>
      </c>
      <c r="W37" s="2" t="n">
        <v>7</v>
      </c>
      <c r="X37" s="2" t="n">
        <v>0.33794</v>
      </c>
      <c r="Y37" s="2" t="inlineStr">
        <is>
          <t>18 / 15</t>
        </is>
      </c>
      <c r="Z37" s="2" t="n">
        <v>20</v>
      </c>
    </row>
    <row r="38" ht="23.25" customHeight="1">
      <c r="A38" s="2" t="inlineStr">
        <is>
          <t>B09</t>
        </is>
      </c>
      <c r="B38" s="2" t="inlineStr">
        <is>
          <t>zone22</t>
        </is>
      </c>
      <c r="C38" s="2" t="inlineStr">
        <is>
          <t>Lecture hall / study room</t>
        </is>
      </c>
      <c r="D38" s="2" t="n">
        <v>184.06</v>
      </c>
      <c r="E38" s="2" t="n">
        <v>0.6</v>
      </c>
      <c r="F38" s="19">
        <f>D38*E38</f>
        <v/>
      </c>
      <c r="G38" s="2" t="inlineStr">
        <is>
          <t>OccSch_B2.4</t>
        </is>
      </c>
      <c r="H38" s="2" t="n">
        <v>6</v>
      </c>
      <c r="I38" s="2" t="inlineStr">
        <is>
          <t>LghSch_Costant</t>
        </is>
      </c>
      <c r="J38" s="2" t="n">
        <v>2</v>
      </c>
      <c r="K38" s="2" t="inlineStr">
        <is>
          <t>EqpSch_Costant</t>
        </is>
      </c>
      <c r="L38" s="7">
        <f>IF(R38="Yes",Ref_Assumptions!$C$8,"–")</f>
        <v/>
      </c>
      <c r="M38" s="7">
        <f>IF(R38="Yes",Ref_Assumptions!$C$9,"–")</f>
        <v/>
      </c>
      <c r="N38" s="7">
        <f>IF(R38="Yes",Ref_Assumptions!$C$10,"–")</f>
        <v/>
      </c>
      <c r="O38" s="2" t="n">
        <v>70</v>
      </c>
      <c r="P38" s="2" t="n">
        <v>40</v>
      </c>
      <c r="Q38" s="2" t="inlineStr">
        <is>
          <t>Always on (calibrated AHU schedules = 1)</t>
        </is>
      </c>
      <c r="R38" s="2" t="inlineStr">
        <is>
          <t>Yes</t>
        </is>
      </c>
      <c r="S38" s="7">
        <f>IF(R38="Yes",Ref_Assumptions!$C$2,Ref_Assumptions!$C$4)</f>
        <v/>
      </c>
      <c r="T38" s="7">
        <f>IF(R38="Yes",Ref_Assumptions!$C$3,Ref_Assumptions!$C$4)</f>
        <v/>
      </c>
      <c r="U38" s="4">
        <f>(F38*S38+D38*T38)*3.6</f>
        <v/>
      </c>
      <c r="V38" s="7">
        <f>Ref_Assumptions!$C$5</f>
        <v/>
      </c>
      <c r="W38" s="2" t="n">
        <v>7</v>
      </c>
      <c r="X38" s="2" t="n">
        <v>3.3067</v>
      </c>
      <c r="Y38" s="2" t="inlineStr">
        <is>
          <t>18 / 15</t>
        </is>
      </c>
      <c r="Z38" s="2" t="n">
        <v>20</v>
      </c>
    </row>
    <row r="39" ht="23.25" customHeight="1">
      <c r="A39" s="2" t="inlineStr">
        <is>
          <t>B09</t>
        </is>
      </c>
      <c r="B39" s="2" t="inlineStr">
        <is>
          <t>zone23</t>
        </is>
      </c>
      <c r="C39" s="2" t="inlineStr">
        <is>
          <t>Lecture hall / study room</t>
        </is>
      </c>
      <c r="D39" s="2" t="n">
        <v>183.32</v>
      </c>
      <c r="E39" s="2" t="n">
        <v>0.6</v>
      </c>
      <c r="F39" s="19">
        <f>D39*E39</f>
        <v/>
      </c>
      <c r="G39" s="2" t="inlineStr">
        <is>
          <t>OccSch_B2.6</t>
        </is>
      </c>
      <c r="H39" s="2" t="n">
        <v>6</v>
      </c>
      <c r="I39" s="2" t="inlineStr">
        <is>
          <t>LghSch_Costant</t>
        </is>
      </c>
      <c r="J39" s="2" t="n">
        <v>2</v>
      </c>
      <c r="K39" s="2" t="inlineStr">
        <is>
          <t>EqpSch_Costant</t>
        </is>
      </c>
      <c r="L39" s="7">
        <f>IF(R39="Yes",Ref_Assumptions!$C$8,"–")</f>
        <v/>
      </c>
      <c r="M39" s="7">
        <f>IF(R39="Yes",Ref_Assumptions!$C$9,"–")</f>
        <v/>
      </c>
      <c r="N39" s="7">
        <f>IF(R39="Yes",Ref_Assumptions!$C$10,"–")</f>
        <v/>
      </c>
      <c r="O39" s="2" t="n">
        <v>70</v>
      </c>
      <c r="P39" s="2" t="n">
        <v>40</v>
      </c>
      <c r="Q39" s="2" t="inlineStr">
        <is>
          <t>Always on (calibrated AHU schedules = 1)</t>
        </is>
      </c>
      <c r="R39" s="2" t="inlineStr">
        <is>
          <t>Yes</t>
        </is>
      </c>
      <c r="S39" s="7">
        <f>IF(R39="Yes",Ref_Assumptions!$C$2,Ref_Assumptions!$C$4)</f>
        <v/>
      </c>
      <c r="T39" s="7">
        <f>IF(R39="Yes",Ref_Assumptions!$C$3,Ref_Assumptions!$C$4)</f>
        <v/>
      </c>
      <c r="U39" s="4">
        <f>(F39*S39+D39*T39)*3.6</f>
        <v/>
      </c>
      <c r="V39" s="7">
        <f>Ref_Assumptions!$C$5</f>
        <v/>
      </c>
      <c r="W39" s="2" t="n">
        <v>7</v>
      </c>
      <c r="X39" s="2" t="n">
        <v>4.40771</v>
      </c>
      <c r="Y39" s="2" t="inlineStr">
        <is>
          <t>18 / 15</t>
        </is>
      </c>
      <c r="Z39" s="2" t="n">
        <v>20</v>
      </c>
    </row>
    <row r="40" ht="23.25" customHeight="1">
      <c r="A40" s="2" t="inlineStr">
        <is>
          <t>B09</t>
        </is>
      </c>
      <c r="B40" s="2" t="inlineStr">
        <is>
          <t>zone24</t>
        </is>
      </c>
      <c r="C40" s="2" t="inlineStr">
        <is>
          <t>Lecture hall / study room</t>
        </is>
      </c>
      <c r="D40" s="2" t="n">
        <v>182.71</v>
      </c>
      <c r="E40" s="2" t="n">
        <v>0.6</v>
      </c>
      <c r="F40" s="19">
        <f>D40*E40</f>
        <v/>
      </c>
      <c r="G40" s="2" t="inlineStr">
        <is>
          <t>OccSch_B2.5</t>
        </is>
      </c>
      <c r="H40" s="2" t="n">
        <v>6</v>
      </c>
      <c r="I40" s="2" t="inlineStr">
        <is>
          <t>LghSch_Costant</t>
        </is>
      </c>
      <c r="J40" s="2" t="n">
        <v>2</v>
      </c>
      <c r="K40" s="2" t="inlineStr">
        <is>
          <t>EqpSch_Costant</t>
        </is>
      </c>
      <c r="L40" s="7">
        <f>IF(R40="Yes",Ref_Assumptions!$C$8,"–")</f>
        <v/>
      </c>
      <c r="M40" s="7">
        <f>IF(R40="Yes",Ref_Assumptions!$C$9,"–")</f>
        <v/>
      </c>
      <c r="N40" s="7">
        <f>IF(R40="Yes",Ref_Assumptions!$C$10,"–")</f>
        <v/>
      </c>
      <c r="O40" s="2" t="n">
        <v>70</v>
      </c>
      <c r="P40" s="2" t="n">
        <v>40</v>
      </c>
      <c r="Q40" s="2" t="inlineStr">
        <is>
          <t>Always on (calibrated AHU schedules = 1)</t>
        </is>
      </c>
      <c r="R40" s="2" t="inlineStr">
        <is>
          <t>Yes</t>
        </is>
      </c>
      <c r="S40" s="7">
        <f>IF(R40="Yes",Ref_Assumptions!$C$2,Ref_Assumptions!$C$4)</f>
        <v/>
      </c>
      <c r="T40" s="7">
        <f>IF(R40="Yes",Ref_Assumptions!$C$3,Ref_Assumptions!$C$4)</f>
        <v/>
      </c>
      <c r="U40" s="4">
        <f>(F40*S40+D40*T40)*3.6</f>
        <v/>
      </c>
      <c r="V40" s="7">
        <f>Ref_Assumptions!$C$5</f>
        <v/>
      </c>
      <c r="W40" s="2" t="n">
        <v>7</v>
      </c>
      <c r="X40" s="2" t="n">
        <v>4.29034</v>
      </c>
      <c r="Y40" s="2" t="inlineStr">
        <is>
          <t>18 / 15</t>
        </is>
      </c>
      <c r="Z40" s="2" t="n">
        <v>20</v>
      </c>
    </row>
    <row r="41" ht="23.25" customHeight="1">
      <c r="A41" s="2" t="inlineStr">
        <is>
          <t>B09</t>
        </is>
      </c>
      <c r="B41" s="2" t="inlineStr">
        <is>
          <t>zone25</t>
        </is>
      </c>
      <c r="C41" s="2" t="inlineStr">
        <is>
          <t>Lecture hall / study room</t>
        </is>
      </c>
      <c r="D41" s="2" t="n">
        <v>109.33</v>
      </c>
      <c r="E41" s="2" t="n">
        <v>0.6</v>
      </c>
      <c r="F41" s="19">
        <f>D41*E41</f>
        <v/>
      </c>
      <c r="G41" s="2" t="inlineStr">
        <is>
          <t>OccSch_B2.2</t>
        </is>
      </c>
      <c r="H41" s="2" t="n">
        <v>6</v>
      </c>
      <c r="I41" s="2" t="inlineStr">
        <is>
          <t>LghSch_Costant</t>
        </is>
      </c>
      <c r="J41" s="2" t="n">
        <v>2</v>
      </c>
      <c r="K41" s="2" t="inlineStr">
        <is>
          <t>EqpSch_Costant</t>
        </is>
      </c>
      <c r="L41" s="7">
        <f>IF(R41="Yes",Ref_Assumptions!$C$8,"–")</f>
        <v/>
      </c>
      <c r="M41" s="7">
        <f>IF(R41="Yes",Ref_Assumptions!$C$9,"–")</f>
        <v/>
      </c>
      <c r="N41" s="7">
        <f>IF(R41="Yes",Ref_Assumptions!$C$10,"–")</f>
        <v/>
      </c>
      <c r="O41" s="2" t="n">
        <v>70</v>
      </c>
      <c r="P41" s="2" t="n">
        <v>40</v>
      </c>
      <c r="Q41" s="2" t="inlineStr">
        <is>
          <t>Always on (calibrated AHU schedules = 1)</t>
        </is>
      </c>
      <c r="R41" s="2" t="inlineStr">
        <is>
          <t>Yes</t>
        </is>
      </c>
      <c r="S41" s="7">
        <f>IF(R41="Yes",Ref_Assumptions!$C$2,Ref_Assumptions!$C$4)</f>
        <v/>
      </c>
      <c r="T41" s="7">
        <f>IF(R41="Yes",Ref_Assumptions!$C$3,Ref_Assumptions!$C$4)</f>
        <v/>
      </c>
      <c r="U41" s="4">
        <f>(F41*S41+D41*T41)*3.6</f>
        <v/>
      </c>
      <c r="V41" s="7">
        <f>Ref_Assumptions!$C$5</f>
        <v/>
      </c>
      <c r="W41" s="2" t="n">
        <v>7</v>
      </c>
      <c r="X41" s="2" t="n">
        <v>5.36624</v>
      </c>
      <c r="Y41" s="2" t="inlineStr">
        <is>
          <t>18 / 15</t>
        </is>
      </c>
      <c r="Z41" s="2" t="n">
        <v>20</v>
      </c>
    </row>
    <row r="42" ht="23.25" customHeight="1">
      <c r="A42" s="2" t="inlineStr">
        <is>
          <t>B09</t>
        </is>
      </c>
      <c r="B42" s="2" t="inlineStr">
        <is>
          <t>zone26</t>
        </is>
      </c>
      <c r="C42" s="2" t="inlineStr">
        <is>
          <t>Lecture hall / study room</t>
        </is>
      </c>
      <c r="D42" s="2" t="n">
        <v>183.48</v>
      </c>
      <c r="E42" s="2" t="n">
        <v>0.6</v>
      </c>
      <c r="F42" s="19">
        <f>D42*E42</f>
        <v/>
      </c>
      <c r="G42" s="2" t="inlineStr">
        <is>
          <t>OccSch_B0.1</t>
        </is>
      </c>
      <c r="H42" s="2" t="n">
        <v>6</v>
      </c>
      <c r="I42" s="2" t="inlineStr">
        <is>
          <t>LghSch_Costant</t>
        </is>
      </c>
      <c r="J42" s="2" t="n">
        <v>2</v>
      </c>
      <c r="K42" s="2" t="inlineStr">
        <is>
          <t>EqpSch_Costant</t>
        </is>
      </c>
      <c r="L42" s="7">
        <f>IF(R42="Yes",Ref_Assumptions!$C$8,"–")</f>
        <v/>
      </c>
      <c r="M42" s="7">
        <f>IF(R42="Yes",Ref_Assumptions!$C$9,"–")</f>
        <v/>
      </c>
      <c r="N42" s="7">
        <f>IF(R42="Yes",Ref_Assumptions!$C$10,"–")</f>
        <v/>
      </c>
      <c r="O42" s="2" t="n">
        <v>70</v>
      </c>
      <c r="P42" s="2" t="n">
        <v>40</v>
      </c>
      <c r="Q42" s="2" t="inlineStr">
        <is>
          <t>Always on (calibrated AHU schedules = 1)</t>
        </is>
      </c>
      <c r="R42" s="2" t="inlineStr">
        <is>
          <t>Yes</t>
        </is>
      </c>
      <c r="S42" s="7">
        <f>IF(R42="Yes",Ref_Assumptions!$C$2,Ref_Assumptions!$C$4)</f>
        <v/>
      </c>
      <c r="T42" s="7">
        <f>IF(R42="Yes",Ref_Assumptions!$C$3,Ref_Assumptions!$C$4)</f>
        <v/>
      </c>
      <c r="U42" s="4">
        <f>(F42*S42+D42*T42)*3.6</f>
        <v/>
      </c>
      <c r="V42" s="7">
        <f>Ref_Assumptions!$C$5</f>
        <v/>
      </c>
      <c r="W42" s="2" t="n">
        <v>7</v>
      </c>
      <c r="X42" s="2" t="n">
        <v>4.27427</v>
      </c>
      <c r="Y42" s="2" t="inlineStr">
        <is>
          <t>18 / 15</t>
        </is>
      </c>
      <c r="Z42" s="2" t="n">
        <v>20</v>
      </c>
    </row>
    <row r="43" ht="23.25" customHeight="1">
      <c r="A43" s="2" t="inlineStr">
        <is>
          <t>B09</t>
        </is>
      </c>
      <c r="B43" s="2" t="inlineStr">
        <is>
          <t>zone27</t>
        </is>
      </c>
      <c r="C43" s="2" t="inlineStr">
        <is>
          <t>Lecture hall / study room</t>
        </is>
      </c>
      <c r="D43" s="2" t="n">
        <v>183.32</v>
      </c>
      <c r="E43" s="2" t="n">
        <v>0.6</v>
      </c>
      <c r="F43" s="19">
        <f>D43*E43</f>
        <v/>
      </c>
      <c r="G43" s="2" t="inlineStr">
        <is>
          <t>OccSch_B0.7</t>
        </is>
      </c>
      <c r="H43" s="2" t="n">
        <v>6</v>
      </c>
      <c r="I43" s="2" t="inlineStr">
        <is>
          <t>LghSch_Costant</t>
        </is>
      </c>
      <c r="J43" s="2" t="n">
        <v>2</v>
      </c>
      <c r="K43" s="2" t="inlineStr">
        <is>
          <t>EqpSch_Costant</t>
        </is>
      </c>
      <c r="L43" s="7">
        <f>IF(R43="Yes",Ref_Assumptions!$C$8,"–")</f>
        <v/>
      </c>
      <c r="M43" s="7">
        <f>IF(R43="Yes",Ref_Assumptions!$C$9,"–")</f>
        <v/>
      </c>
      <c r="N43" s="7">
        <f>IF(R43="Yes",Ref_Assumptions!$C$10,"–")</f>
        <v/>
      </c>
      <c r="O43" s="2" t="n">
        <v>70</v>
      </c>
      <c r="P43" s="2" t="n">
        <v>40</v>
      </c>
      <c r="Q43" s="2" t="inlineStr">
        <is>
          <t>Always on (calibrated AHU schedules = 1)</t>
        </is>
      </c>
      <c r="R43" s="2" t="inlineStr">
        <is>
          <t>Yes</t>
        </is>
      </c>
      <c r="S43" s="7">
        <f>IF(R43="Yes",Ref_Assumptions!$C$2,Ref_Assumptions!$C$4)</f>
        <v/>
      </c>
      <c r="T43" s="7">
        <f>IF(R43="Yes",Ref_Assumptions!$C$3,Ref_Assumptions!$C$4)</f>
        <v/>
      </c>
      <c r="U43" s="4">
        <f>(F43*S43+D43*T43)*3.6</f>
        <v/>
      </c>
      <c r="V43" s="7">
        <f>Ref_Assumptions!$C$5</f>
        <v/>
      </c>
      <c r="W43" s="2" t="n">
        <v>7</v>
      </c>
      <c r="X43" s="2" t="n">
        <v>5.80349</v>
      </c>
      <c r="Y43" s="2" t="inlineStr">
        <is>
          <t>18 / 15</t>
        </is>
      </c>
      <c r="Z43" s="2" t="n">
        <v>20</v>
      </c>
    </row>
    <row r="44" ht="23.25" customHeight="1">
      <c r="A44" s="2" t="inlineStr">
        <is>
          <t>B09</t>
        </is>
      </c>
      <c r="B44" s="2" t="inlineStr">
        <is>
          <t>zone28</t>
        </is>
      </c>
      <c r="C44" s="2" t="inlineStr">
        <is>
          <t>Lecture hall / study room</t>
        </is>
      </c>
      <c r="D44" s="2" t="n">
        <v>105.5</v>
      </c>
      <c r="E44" s="2" t="n">
        <v>0.6</v>
      </c>
      <c r="F44" s="19">
        <f>D44*E44</f>
        <v/>
      </c>
      <c r="G44" s="2" t="inlineStr">
        <is>
          <t>OccSch_B0.6</t>
        </is>
      </c>
      <c r="H44" s="2" t="n">
        <v>6</v>
      </c>
      <c r="I44" s="2" t="inlineStr">
        <is>
          <t>LghSch_Costant</t>
        </is>
      </c>
      <c r="J44" s="2" t="n">
        <v>2</v>
      </c>
      <c r="K44" s="2" t="inlineStr">
        <is>
          <t>EqpSch_Costant</t>
        </is>
      </c>
      <c r="L44" s="7">
        <f>IF(R44="Yes",Ref_Assumptions!$C$8,"–")</f>
        <v/>
      </c>
      <c r="M44" s="7">
        <f>IF(R44="Yes",Ref_Assumptions!$C$9,"–")</f>
        <v/>
      </c>
      <c r="N44" s="7">
        <f>IF(R44="Yes",Ref_Assumptions!$C$10,"–")</f>
        <v/>
      </c>
      <c r="O44" s="2" t="n">
        <v>70</v>
      </c>
      <c r="P44" s="2" t="n">
        <v>40</v>
      </c>
      <c r="Q44" s="2" t="inlineStr">
        <is>
          <t>Always on (calibrated AHU schedules = 1)</t>
        </is>
      </c>
      <c r="R44" s="2" t="inlineStr">
        <is>
          <t>Yes</t>
        </is>
      </c>
      <c r="S44" s="7">
        <f>IF(R44="Yes",Ref_Assumptions!$C$2,Ref_Assumptions!$C$4)</f>
        <v/>
      </c>
      <c r="T44" s="7">
        <f>IF(R44="Yes",Ref_Assumptions!$C$3,Ref_Assumptions!$C$4)</f>
        <v/>
      </c>
      <c r="U44" s="4">
        <f>(F44*S44+D44*T44)*3.6</f>
        <v/>
      </c>
      <c r="V44" s="7">
        <f>Ref_Assumptions!$C$5</f>
        <v/>
      </c>
      <c r="W44" s="2" t="n">
        <v>7</v>
      </c>
      <c r="X44" s="2" t="n">
        <v>5.48097</v>
      </c>
      <c r="Y44" s="2" t="inlineStr">
        <is>
          <t>18 / 15</t>
        </is>
      </c>
      <c r="Z44" s="2" t="n">
        <v>20</v>
      </c>
    </row>
    <row r="45" ht="23.25" customHeight="1">
      <c r="A45" s="2" t="inlineStr">
        <is>
          <t>B09</t>
        </is>
      </c>
      <c r="B45" s="2" t="inlineStr">
        <is>
          <t>zone29</t>
        </is>
      </c>
      <c r="C45" s="2" t="inlineStr">
        <is>
          <t>Conditioned service / circulation</t>
        </is>
      </c>
      <c r="D45" s="2" t="n">
        <v>5.07</v>
      </c>
      <c r="E45" s="2" t="n">
        <v>0</v>
      </c>
      <c r="F45" s="19">
        <f>D45*E45</f>
        <v/>
      </c>
      <c r="G45" s="2" t="inlineStr">
        <is>
          <t>OccSch_Unoccupied</t>
        </is>
      </c>
      <c r="H45" s="2" t="n">
        <v>6</v>
      </c>
      <c r="I45" s="2" t="inlineStr">
        <is>
          <t>LghSch_Costant</t>
        </is>
      </c>
      <c r="J45" s="2" t="n">
        <v>2</v>
      </c>
      <c r="K45" s="2" t="inlineStr">
        <is>
          <t>EqpSch_Costant</t>
        </is>
      </c>
      <c r="L45" s="7">
        <f>IF(R45="Yes",Ref_Assumptions!$C$8,"–")</f>
        <v/>
      </c>
      <c r="M45" s="7">
        <f>IF(R45="Yes",Ref_Assumptions!$C$9,"–")</f>
        <v/>
      </c>
      <c r="N45" s="7">
        <f>IF(R45="Yes",Ref_Assumptions!$C$10,"–")</f>
        <v/>
      </c>
      <c r="O45" s="2" t="n">
        <v>70</v>
      </c>
      <c r="P45" s="2" t="n">
        <v>40</v>
      </c>
      <c r="Q45" s="2" t="inlineStr">
        <is>
          <t>Always on (calibrated AHU schedules = 1)</t>
        </is>
      </c>
      <c r="R45" s="2" t="inlineStr">
        <is>
          <t>Yes</t>
        </is>
      </c>
      <c r="S45" s="7">
        <f>IF(R45="Yes",Ref_Assumptions!$C$2,Ref_Assumptions!$C$4)</f>
        <v/>
      </c>
      <c r="T45" s="7">
        <f>IF(R45="Yes",Ref_Assumptions!$C$3,Ref_Assumptions!$C$4)</f>
        <v/>
      </c>
      <c r="U45" s="4">
        <f>(F45*S45+D45*T45)*3.6</f>
        <v/>
      </c>
      <c r="V45" s="7">
        <f>Ref_Assumptions!$C$5</f>
        <v/>
      </c>
      <c r="W45" s="2" t="n">
        <v>0</v>
      </c>
      <c r="X45" s="2" t="n">
        <v>0</v>
      </c>
      <c r="Y45" s="2" t="inlineStr">
        <is>
          <t>18 / 15</t>
        </is>
      </c>
      <c r="Z45" s="2" t="n">
        <v>20</v>
      </c>
    </row>
    <row r="46" ht="23.25" customHeight="1">
      <c r="A46" s="2" t="inlineStr">
        <is>
          <t>B09</t>
        </is>
      </c>
      <c r="B46" s="2" t="inlineStr">
        <is>
          <t>zone30</t>
        </is>
      </c>
      <c r="C46" s="2" t="inlineStr">
        <is>
          <t>Lecture hall / study room</t>
        </is>
      </c>
      <c r="D46" s="2" t="n">
        <v>51.28</v>
      </c>
      <c r="E46" s="2" t="n">
        <v>0.6</v>
      </c>
      <c r="F46" s="19">
        <f>D46*E46</f>
        <v/>
      </c>
      <c r="G46" s="2" t="inlineStr">
        <is>
          <t>OccSch_Unoccupied</t>
        </is>
      </c>
      <c r="H46" s="2" t="n">
        <v>6</v>
      </c>
      <c r="I46" s="2" t="inlineStr">
        <is>
          <t>LghSch_Costant</t>
        </is>
      </c>
      <c r="J46" s="2" t="n">
        <v>2</v>
      </c>
      <c r="K46" s="2" t="inlineStr">
        <is>
          <t>EqpSch_Costant</t>
        </is>
      </c>
      <c r="L46" s="7">
        <f>IF(R46="Yes",Ref_Assumptions!$C$8,"–")</f>
        <v/>
      </c>
      <c r="M46" s="7">
        <f>IF(R46="Yes",Ref_Assumptions!$C$9,"–")</f>
        <v/>
      </c>
      <c r="N46" s="7">
        <f>IF(R46="Yes",Ref_Assumptions!$C$10,"–")</f>
        <v/>
      </c>
      <c r="O46" s="2" t="n">
        <v>70</v>
      </c>
      <c r="P46" s="2" t="n">
        <v>40</v>
      </c>
      <c r="Q46" s="2" t="inlineStr">
        <is>
          <t>Always on (calibrated AHU schedules = 1)</t>
        </is>
      </c>
      <c r="R46" s="2" t="inlineStr">
        <is>
          <t>Yes</t>
        </is>
      </c>
      <c r="S46" s="7">
        <f>IF(R46="Yes",Ref_Assumptions!$C$2,Ref_Assumptions!$C$4)</f>
        <v/>
      </c>
      <c r="T46" s="7">
        <f>IF(R46="Yes",Ref_Assumptions!$C$3,Ref_Assumptions!$C$4)</f>
        <v/>
      </c>
      <c r="U46" s="4">
        <f>(F46*S46+D46*T46)*3.6</f>
        <v/>
      </c>
      <c r="V46" s="7">
        <f>Ref_Assumptions!$C$5</f>
        <v/>
      </c>
      <c r="W46" s="2" t="n">
        <v>7</v>
      </c>
      <c r="X46" s="2" t="n">
        <v>2.12077</v>
      </c>
      <c r="Y46" s="2" t="inlineStr">
        <is>
          <t>18 / 15</t>
        </is>
      </c>
      <c r="Z46" s="2" t="n">
        <v>20</v>
      </c>
    </row>
    <row r="47" ht="23.25" customHeight="1">
      <c r="A47" s="2" t="inlineStr">
        <is>
          <t>B09</t>
        </is>
      </c>
      <c r="B47" s="2" t="inlineStr">
        <is>
          <t>zone31</t>
        </is>
      </c>
      <c r="C47" s="2" t="inlineStr">
        <is>
          <t>Lecture hall / study room</t>
        </is>
      </c>
      <c r="D47" s="2" t="n">
        <v>184.06</v>
      </c>
      <c r="E47" s="2" t="n">
        <v>0.6</v>
      </c>
      <c r="F47" s="19">
        <f>D47*E47</f>
        <v/>
      </c>
      <c r="G47" s="2" t="inlineStr">
        <is>
          <t>OccSch_B0.5</t>
        </is>
      </c>
      <c r="H47" s="2" t="n">
        <v>6</v>
      </c>
      <c r="I47" s="2" t="inlineStr">
        <is>
          <t>LghSch_Costant</t>
        </is>
      </c>
      <c r="J47" s="2" t="n">
        <v>2</v>
      </c>
      <c r="K47" s="2" t="inlineStr">
        <is>
          <t>EqpSch_Costant</t>
        </is>
      </c>
      <c r="L47" s="7">
        <f>IF(R47="Yes",Ref_Assumptions!$C$8,"–")</f>
        <v/>
      </c>
      <c r="M47" s="7">
        <f>IF(R47="Yes",Ref_Assumptions!$C$9,"–")</f>
        <v/>
      </c>
      <c r="N47" s="7">
        <f>IF(R47="Yes",Ref_Assumptions!$C$10,"–")</f>
        <v/>
      </c>
      <c r="O47" s="2" t="n">
        <v>70</v>
      </c>
      <c r="P47" s="2" t="n">
        <v>40</v>
      </c>
      <c r="Q47" s="2" t="inlineStr">
        <is>
          <t>Always on (calibrated AHU schedules = 1)</t>
        </is>
      </c>
      <c r="R47" s="2" t="inlineStr">
        <is>
          <t>Yes</t>
        </is>
      </c>
      <c r="S47" s="7">
        <f>IF(R47="Yes",Ref_Assumptions!$C$2,Ref_Assumptions!$C$4)</f>
        <v/>
      </c>
      <c r="T47" s="7">
        <f>IF(R47="Yes",Ref_Assumptions!$C$3,Ref_Assumptions!$C$4)</f>
        <v/>
      </c>
      <c r="U47" s="4">
        <f>(F47*S47+D47*T47)*3.6</f>
        <v/>
      </c>
      <c r="V47" s="7">
        <f>Ref_Assumptions!$C$5</f>
        <v/>
      </c>
      <c r="W47" s="2" t="n">
        <v>7</v>
      </c>
      <c r="X47" s="2" t="n">
        <v>3.67411</v>
      </c>
      <c r="Y47" s="2" t="inlineStr">
        <is>
          <t>18 / 15</t>
        </is>
      </c>
      <c r="Z47" s="2" t="n">
        <v>20</v>
      </c>
    </row>
    <row r="48" ht="23.25" customHeight="1">
      <c r="A48" s="2" t="inlineStr">
        <is>
          <t>B09</t>
        </is>
      </c>
      <c r="B48" s="2" t="inlineStr">
        <is>
          <t>zone32</t>
        </is>
      </c>
      <c r="C48" s="2" t="inlineStr">
        <is>
          <t>Lecture hall / study room</t>
        </is>
      </c>
      <c r="D48" s="2" t="n">
        <v>326.19</v>
      </c>
      <c r="E48" s="2" t="n">
        <v>0.6</v>
      </c>
      <c r="F48" s="19">
        <f>D48*E48</f>
        <v/>
      </c>
      <c r="G48" s="2" t="inlineStr">
        <is>
          <t>OccSch_B1.3</t>
        </is>
      </c>
      <c r="H48" s="2" t="n">
        <v>6</v>
      </c>
      <c r="I48" s="2" t="inlineStr">
        <is>
          <t>LghSch_Costant</t>
        </is>
      </c>
      <c r="J48" s="2" t="n">
        <v>2</v>
      </c>
      <c r="K48" s="2" t="inlineStr">
        <is>
          <t>EqpSch_Costant</t>
        </is>
      </c>
      <c r="L48" s="7">
        <f>IF(R48="Yes",Ref_Assumptions!$C$8,"–")</f>
        <v/>
      </c>
      <c r="M48" s="7">
        <f>IF(R48="Yes",Ref_Assumptions!$C$9,"–")</f>
        <v/>
      </c>
      <c r="N48" s="7">
        <f>IF(R48="Yes",Ref_Assumptions!$C$10,"–")</f>
        <v/>
      </c>
      <c r="O48" s="2" t="n">
        <v>70</v>
      </c>
      <c r="P48" s="2" t="n">
        <v>40</v>
      </c>
      <c r="Q48" s="2" t="inlineStr">
        <is>
          <t>Always on (calibrated AHU schedules = 1)</t>
        </is>
      </c>
      <c r="R48" s="2" t="inlineStr">
        <is>
          <t>Yes</t>
        </is>
      </c>
      <c r="S48" s="7">
        <f>IF(R48="Yes",Ref_Assumptions!$C$2,Ref_Assumptions!$C$4)</f>
        <v/>
      </c>
      <c r="T48" s="7">
        <f>IF(R48="Yes",Ref_Assumptions!$C$3,Ref_Assumptions!$C$4)</f>
        <v/>
      </c>
      <c r="U48" s="4">
        <f>(F48*S48+D48*T48)*3.6</f>
        <v/>
      </c>
      <c r="V48" s="7">
        <f>Ref_Assumptions!$C$5</f>
        <v/>
      </c>
      <c r="W48" s="2" t="n">
        <v>7</v>
      </c>
      <c r="X48" s="2" t="n">
        <v>2.93843</v>
      </c>
      <c r="Y48" s="2" t="inlineStr">
        <is>
          <t>18 / 15</t>
        </is>
      </c>
      <c r="Z48" s="2" t="n">
        <v>20</v>
      </c>
    </row>
    <row r="49" ht="23.25" customHeight="1">
      <c r="A49" s="2" t="inlineStr">
        <is>
          <t>B09</t>
        </is>
      </c>
      <c r="B49" s="2" t="inlineStr">
        <is>
          <t>zone33</t>
        </is>
      </c>
      <c r="C49" s="2" t="inlineStr">
        <is>
          <t>Lecture hall / study room</t>
        </is>
      </c>
      <c r="D49" s="2" t="n">
        <v>181.84</v>
      </c>
      <c r="E49" s="2" t="n">
        <v>0.6</v>
      </c>
      <c r="F49" s="19">
        <f>D49*E49</f>
        <v/>
      </c>
      <c r="G49" s="2" t="inlineStr">
        <is>
          <t>OccSch_B0.4</t>
        </is>
      </c>
      <c r="H49" s="2" t="n">
        <v>6</v>
      </c>
      <c r="I49" s="2" t="inlineStr">
        <is>
          <t>LghSch_Costant</t>
        </is>
      </c>
      <c r="J49" s="2" t="n">
        <v>2</v>
      </c>
      <c r="K49" s="2" t="inlineStr">
        <is>
          <t>EqpSch_Costant</t>
        </is>
      </c>
      <c r="L49" s="7">
        <f>IF(R49="Yes",Ref_Assumptions!$C$8,"–")</f>
        <v/>
      </c>
      <c r="M49" s="7">
        <f>IF(R49="Yes",Ref_Assumptions!$C$9,"–")</f>
        <v/>
      </c>
      <c r="N49" s="7">
        <f>IF(R49="Yes",Ref_Assumptions!$C$10,"–")</f>
        <v/>
      </c>
      <c r="O49" s="2" t="n">
        <v>70</v>
      </c>
      <c r="P49" s="2" t="n">
        <v>40</v>
      </c>
      <c r="Q49" s="2" t="inlineStr">
        <is>
          <t>Always on (calibrated AHU schedules = 1)</t>
        </is>
      </c>
      <c r="R49" s="2" t="inlineStr">
        <is>
          <t>Yes</t>
        </is>
      </c>
      <c r="S49" s="7">
        <f>IF(R49="Yes",Ref_Assumptions!$C$2,Ref_Assumptions!$C$4)</f>
        <v/>
      </c>
      <c r="T49" s="7">
        <f>IF(R49="Yes",Ref_Assumptions!$C$3,Ref_Assumptions!$C$4)</f>
        <v/>
      </c>
      <c r="U49" s="4">
        <f>(F49*S49+D49*T49)*3.6</f>
        <v/>
      </c>
      <c r="V49" s="7">
        <f>Ref_Assumptions!$C$5</f>
        <v/>
      </c>
      <c r="W49" s="2" t="n">
        <v>7</v>
      </c>
      <c r="X49" s="2" t="n">
        <v>4.50583</v>
      </c>
      <c r="Y49" s="2" t="inlineStr">
        <is>
          <t>18 / 15</t>
        </is>
      </c>
      <c r="Z49" s="2" t="n">
        <v>20</v>
      </c>
    </row>
    <row r="50" ht="23.25" customHeight="1">
      <c r="A50" s="2" t="inlineStr">
        <is>
          <t>B09</t>
        </is>
      </c>
      <c r="B50" s="2" t="inlineStr">
        <is>
          <t>zone34</t>
        </is>
      </c>
      <c r="C50" s="2" t="inlineStr">
        <is>
          <t>Lecture hall / study room</t>
        </is>
      </c>
      <c r="D50" s="2" t="n">
        <v>109.33</v>
      </c>
      <c r="E50" s="2" t="n">
        <v>0.6</v>
      </c>
      <c r="F50" s="19">
        <f>D50*E50</f>
        <v/>
      </c>
      <c r="G50" s="2" t="inlineStr">
        <is>
          <t>OccSch_B0.3</t>
        </is>
      </c>
      <c r="H50" s="2" t="n">
        <v>6</v>
      </c>
      <c r="I50" s="2" t="inlineStr">
        <is>
          <t>LghSch_Costant</t>
        </is>
      </c>
      <c r="J50" s="2" t="n">
        <v>2</v>
      </c>
      <c r="K50" s="2" t="inlineStr">
        <is>
          <t>EqpSch_Costant</t>
        </is>
      </c>
      <c r="L50" s="7">
        <f>IF(R50="Yes",Ref_Assumptions!$C$8,"–")</f>
        <v/>
      </c>
      <c r="M50" s="7">
        <f>IF(R50="Yes",Ref_Assumptions!$C$9,"–")</f>
        <v/>
      </c>
      <c r="N50" s="7">
        <f>IF(R50="Yes",Ref_Assumptions!$C$10,"–")</f>
        <v/>
      </c>
      <c r="O50" s="2" t="n">
        <v>70</v>
      </c>
      <c r="P50" s="2" t="n">
        <v>40</v>
      </c>
      <c r="Q50" s="2" t="inlineStr">
        <is>
          <t>Always on (calibrated AHU schedules = 1)</t>
        </is>
      </c>
      <c r="R50" s="2" t="inlineStr">
        <is>
          <t>Yes</t>
        </is>
      </c>
      <c r="S50" s="7">
        <f>IF(R50="Yes",Ref_Assumptions!$C$2,Ref_Assumptions!$C$4)</f>
        <v/>
      </c>
      <c r="T50" s="7">
        <f>IF(R50="Yes",Ref_Assumptions!$C$3,Ref_Assumptions!$C$4)</f>
        <v/>
      </c>
      <c r="U50" s="4">
        <f>(F50*S50+D50*T50)*3.6</f>
        <v/>
      </c>
      <c r="V50" s="7">
        <f>Ref_Assumptions!$C$5</f>
        <v/>
      </c>
      <c r="W50" s="2" t="n">
        <v>7</v>
      </c>
      <c r="X50" s="2" t="n">
        <v>5.36624</v>
      </c>
      <c r="Y50" s="2" t="inlineStr">
        <is>
          <t>18 / 15</t>
        </is>
      </c>
      <c r="Z50" s="2" t="n">
        <v>20</v>
      </c>
    </row>
    <row r="51" ht="23.25" customHeight="1">
      <c r="A51" s="2" t="inlineStr">
        <is>
          <t>B09</t>
        </is>
      </c>
      <c r="B51" s="2" t="inlineStr">
        <is>
          <t>zone35</t>
        </is>
      </c>
      <c r="C51" s="2" t="inlineStr">
        <is>
          <t>Lecture hall / study room</t>
        </is>
      </c>
      <c r="D51" s="2" t="n">
        <v>73.68000000000001</v>
      </c>
      <c r="E51" s="2" t="n">
        <v>0.6</v>
      </c>
      <c r="F51" s="19">
        <f>D51*E51</f>
        <v/>
      </c>
      <c r="G51" s="2" t="inlineStr">
        <is>
          <t>OccSch_B0.2</t>
        </is>
      </c>
      <c r="H51" s="2" t="n">
        <v>6</v>
      </c>
      <c r="I51" s="2" t="inlineStr">
        <is>
          <t>LghSch_Costant</t>
        </is>
      </c>
      <c r="J51" s="2" t="n">
        <v>2</v>
      </c>
      <c r="K51" s="2" t="inlineStr">
        <is>
          <t>EqpSch_Costant</t>
        </is>
      </c>
      <c r="L51" s="7">
        <f>IF(R51="Yes",Ref_Assumptions!$C$8,"–")</f>
        <v/>
      </c>
      <c r="M51" s="7">
        <f>IF(R51="Yes",Ref_Assumptions!$C$9,"–")</f>
        <v/>
      </c>
      <c r="N51" s="7">
        <f>IF(R51="Yes",Ref_Assumptions!$C$10,"–")</f>
        <v/>
      </c>
      <c r="O51" s="2" t="n">
        <v>70</v>
      </c>
      <c r="P51" s="2" t="n">
        <v>40</v>
      </c>
      <c r="Q51" s="2" t="inlineStr">
        <is>
          <t>Always on (calibrated AHU schedules = 1)</t>
        </is>
      </c>
      <c r="R51" s="2" t="inlineStr">
        <is>
          <t>Yes</t>
        </is>
      </c>
      <c r="S51" s="7">
        <f>IF(R51="Yes",Ref_Assumptions!$C$2,Ref_Assumptions!$C$4)</f>
        <v/>
      </c>
      <c r="T51" s="7">
        <f>IF(R51="Yes",Ref_Assumptions!$C$3,Ref_Assumptions!$C$4)</f>
        <v/>
      </c>
      <c r="U51" s="4">
        <f>(F51*S51+D51*T51)*3.6</f>
        <v/>
      </c>
      <c r="V51" s="7">
        <f>Ref_Assumptions!$C$5</f>
        <v/>
      </c>
      <c r="W51" s="2" t="n">
        <v>7</v>
      </c>
      <c r="X51" s="2" t="n">
        <v>4.34015</v>
      </c>
      <c r="Y51" s="2" t="inlineStr">
        <is>
          <t>18 / 15</t>
        </is>
      </c>
      <c r="Z51" s="2" t="n">
        <v>20</v>
      </c>
    </row>
    <row r="52" ht="23.25" customHeight="1">
      <c r="A52" s="2" t="inlineStr">
        <is>
          <t>B09</t>
        </is>
      </c>
      <c r="B52" s="2" t="inlineStr">
        <is>
          <t>zone36</t>
        </is>
      </c>
      <c r="C52" s="2" t="inlineStr">
        <is>
          <t>Research laboratory</t>
        </is>
      </c>
      <c r="D52" s="2" t="n">
        <v>123.29</v>
      </c>
      <c r="E52" s="2" t="n">
        <v>0.3</v>
      </c>
      <c r="F52" s="19">
        <f>D52*E52</f>
        <v/>
      </c>
      <c r="G52" s="2" t="inlineStr">
        <is>
          <t>OccSch_Unoccupied</t>
        </is>
      </c>
      <c r="H52" s="2" t="n">
        <v>6</v>
      </c>
      <c r="I52" s="2" t="inlineStr">
        <is>
          <t>LghSch_Costant</t>
        </is>
      </c>
      <c r="J52" s="2" t="n">
        <v>2</v>
      </c>
      <c r="K52" s="2" t="inlineStr">
        <is>
          <t>EqpSch_Costant</t>
        </is>
      </c>
      <c r="L52" s="7">
        <f>IF(R52="Yes",Ref_Assumptions!$C$8,"–")</f>
        <v/>
      </c>
      <c r="M52" s="7">
        <f>IF(R52="Yes",Ref_Assumptions!$C$9,"–")</f>
        <v/>
      </c>
      <c r="N52" s="7">
        <f>IF(R52="Yes",Ref_Assumptions!$C$10,"–")</f>
        <v/>
      </c>
      <c r="O52" s="2" t="n">
        <v>70</v>
      </c>
      <c r="P52" s="2" t="n">
        <v>40</v>
      </c>
      <c r="Q52" s="2" t="inlineStr">
        <is>
          <t>Always on (calibrated AHU schedules = 1)</t>
        </is>
      </c>
      <c r="R52" s="2" t="inlineStr">
        <is>
          <t>Yes</t>
        </is>
      </c>
      <c r="S52" s="7">
        <f>IF(R52="Yes",Ref_Assumptions!$C$2,Ref_Assumptions!$C$4)</f>
        <v/>
      </c>
      <c r="T52" s="7">
        <f>IF(R52="Yes",Ref_Assumptions!$C$3,Ref_Assumptions!$C$4)</f>
        <v/>
      </c>
      <c r="U52" s="4">
        <f>(F52*S52+D52*T52)*3.6</f>
        <v/>
      </c>
      <c r="V52" s="7">
        <f>Ref_Assumptions!$C$5</f>
        <v/>
      </c>
      <c r="W52" s="2" t="n">
        <v>7</v>
      </c>
      <c r="X52" s="2" t="n">
        <v>1.80182</v>
      </c>
      <c r="Y52" s="2" t="inlineStr">
        <is>
          <t>18 / 15</t>
        </is>
      </c>
      <c r="Z52" s="2" t="n">
        <v>20</v>
      </c>
    </row>
    <row r="53" ht="23.25" customHeight="1">
      <c r="A53" s="2" t="inlineStr">
        <is>
          <t>B09</t>
        </is>
      </c>
      <c r="B53" s="2" t="inlineStr">
        <is>
          <t>zone37</t>
        </is>
      </c>
      <c r="C53" s="2" t="inlineStr">
        <is>
          <t>Research laboratory</t>
        </is>
      </c>
      <c r="D53" s="2" t="n">
        <v>33.35</v>
      </c>
      <c r="E53" s="2" t="n">
        <v>0.3</v>
      </c>
      <c r="F53" s="19">
        <f>D53*E53</f>
        <v/>
      </c>
      <c r="G53" s="2" t="inlineStr">
        <is>
          <t>OccSch_Unoccupied</t>
        </is>
      </c>
      <c r="H53" s="2" t="n">
        <v>6</v>
      </c>
      <c r="I53" s="2" t="inlineStr">
        <is>
          <t>LghSch_Costant</t>
        </is>
      </c>
      <c r="J53" s="2" t="n">
        <v>2</v>
      </c>
      <c r="K53" s="2" t="inlineStr">
        <is>
          <t>EqpSch_Costant</t>
        </is>
      </c>
      <c r="L53" s="7">
        <f>IF(R53="Yes",Ref_Assumptions!$C$8,"–")</f>
        <v/>
      </c>
      <c r="M53" s="7">
        <f>IF(R53="Yes",Ref_Assumptions!$C$9,"–")</f>
        <v/>
      </c>
      <c r="N53" s="7">
        <f>IF(R53="Yes",Ref_Assumptions!$C$10,"–")</f>
        <v/>
      </c>
      <c r="O53" s="2" t="n">
        <v>70</v>
      </c>
      <c r="P53" s="2" t="n">
        <v>40</v>
      </c>
      <c r="Q53" s="2" t="inlineStr">
        <is>
          <t>Always on (calibrated AHU schedules = 1)</t>
        </is>
      </c>
      <c r="R53" s="2" t="inlineStr">
        <is>
          <t>Yes</t>
        </is>
      </c>
      <c r="S53" s="7">
        <f>IF(R53="Yes",Ref_Assumptions!$C$2,Ref_Assumptions!$C$4)</f>
        <v/>
      </c>
      <c r="T53" s="7">
        <f>IF(R53="Yes",Ref_Assumptions!$C$3,Ref_Assumptions!$C$4)</f>
        <v/>
      </c>
      <c r="U53" s="4">
        <f>(F53*S53+D53*T53)*3.6</f>
        <v/>
      </c>
      <c r="V53" s="7">
        <f>Ref_Assumptions!$C$5</f>
        <v/>
      </c>
      <c r="W53" s="2" t="n">
        <v>7</v>
      </c>
      <c r="X53" s="2" t="n">
        <v>1.83288</v>
      </c>
      <c r="Y53" s="2" t="inlineStr">
        <is>
          <t>18 / 15</t>
        </is>
      </c>
      <c r="Z53" s="2" t="n">
        <v>20</v>
      </c>
    </row>
    <row r="54" ht="23.25" customHeight="1">
      <c r="A54" s="2" t="inlineStr">
        <is>
          <t>B09</t>
        </is>
      </c>
      <c r="B54" s="2" t="inlineStr">
        <is>
          <t>zone38</t>
        </is>
      </c>
      <c r="C54" s="2" t="inlineStr">
        <is>
          <t>Research laboratory</t>
        </is>
      </c>
      <c r="D54" s="2" t="n">
        <v>65.34999999999999</v>
      </c>
      <c r="E54" s="2" t="n">
        <v>0.3</v>
      </c>
      <c r="F54" s="19">
        <f>D54*E54</f>
        <v/>
      </c>
      <c r="G54" s="2" t="inlineStr">
        <is>
          <t>OccSch_Unoccupied</t>
        </is>
      </c>
      <c r="H54" s="2" t="n">
        <v>6</v>
      </c>
      <c r="I54" s="2" t="inlineStr">
        <is>
          <t>LghSch_Costant</t>
        </is>
      </c>
      <c r="J54" s="2" t="n">
        <v>2</v>
      </c>
      <c r="K54" s="2" t="inlineStr">
        <is>
          <t>EqpSch_Costant</t>
        </is>
      </c>
      <c r="L54" s="7">
        <f>IF(R54="Yes",Ref_Assumptions!$C$8,"–")</f>
        <v/>
      </c>
      <c r="M54" s="7">
        <f>IF(R54="Yes",Ref_Assumptions!$C$9,"–")</f>
        <v/>
      </c>
      <c r="N54" s="7">
        <f>IF(R54="Yes",Ref_Assumptions!$C$10,"–")</f>
        <v/>
      </c>
      <c r="O54" s="2" t="n">
        <v>70</v>
      </c>
      <c r="P54" s="2" t="n">
        <v>40</v>
      </c>
      <c r="Q54" s="2" t="inlineStr">
        <is>
          <t>Always on (calibrated AHU schedules = 1)</t>
        </is>
      </c>
      <c r="R54" s="2" t="inlineStr">
        <is>
          <t>Yes</t>
        </is>
      </c>
      <c r="S54" s="7">
        <f>IF(R54="Yes",Ref_Assumptions!$C$2,Ref_Assumptions!$C$4)</f>
        <v/>
      </c>
      <c r="T54" s="7">
        <f>IF(R54="Yes",Ref_Assumptions!$C$3,Ref_Assumptions!$C$4)</f>
        <v/>
      </c>
      <c r="U54" s="4">
        <f>(F54*S54+D54*T54)*3.6</f>
        <v/>
      </c>
      <c r="V54" s="7">
        <f>Ref_Assumptions!$C$5</f>
        <v/>
      </c>
      <c r="W54" s="2" t="n">
        <v>7</v>
      </c>
      <c r="X54" s="2" t="n">
        <v>1.71607</v>
      </c>
      <c r="Y54" s="2" t="inlineStr">
        <is>
          <t>18 / 15</t>
        </is>
      </c>
      <c r="Z54" s="2" t="n">
        <v>20</v>
      </c>
    </row>
    <row r="55" ht="23.25" customHeight="1">
      <c r="A55" s="2" t="inlineStr">
        <is>
          <t>B09</t>
        </is>
      </c>
      <c r="B55" s="2" t="inlineStr">
        <is>
          <t>zone39</t>
        </is>
      </c>
      <c r="C55" s="2" t="inlineStr">
        <is>
          <t>Research laboratory</t>
        </is>
      </c>
      <c r="D55" s="2" t="n">
        <v>218.41</v>
      </c>
      <c r="E55" s="2" t="n">
        <v>0.3</v>
      </c>
      <c r="F55" s="19">
        <f>D55*E55</f>
        <v/>
      </c>
      <c r="G55" s="2" t="inlineStr">
        <is>
          <t>OccSch_Unoccupied</t>
        </is>
      </c>
      <c r="H55" s="2" t="n">
        <v>6</v>
      </c>
      <c r="I55" s="2" t="inlineStr">
        <is>
          <t>LghSch_Costant</t>
        </is>
      </c>
      <c r="J55" s="2" t="n">
        <v>2</v>
      </c>
      <c r="K55" s="2" t="inlineStr">
        <is>
          <t>EqpSch_Costant</t>
        </is>
      </c>
      <c r="L55" s="7">
        <f>IF(R55="Yes",Ref_Assumptions!$C$8,"–")</f>
        <v/>
      </c>
      <c r="M55" s="7">
        <f>IF(R55="Yes",Ref_Assumptions!$C$9,"–")</f>
        <v/>
      </c>
      <c r="N55" s="7">
        <f>IF(R55="Yes",Ref_Assumptions!$C$10,"–")</f>
        <v/>
      </c>
      <c r="O55" s="2" t="n">
        <v>70</v>
      </c>
      <c r="P55" s="2" t="n">
        <v>40</v>
      </c>
      <c r="Q55" s="2" t="inlineStr">
        <is>
          <t>Always on (calibrated AHU schedules = 1)</t>
        </is>
      </c>
      <c r="R55" s="2" t="inlineStr">
        <is>
          <t>Yes</t>
        </is>
      </c>
      <c r="S55" s="7">
        <f>IF(R55="Yes",Ref_Assumptions!$C$2,Ref_Assumptions!$C$4)</f>
        <v/>
      </c>
      <c r="T55" s="7">
        <f>IF(R55="Yes",Ref_Assumptions!$C$3,Ref_Assumptions!$C$4)</f>
        <v/>
      </c>
      <c r="U55" s="4">
        <f>(F55*S55+D55*T55)*3.6</f>
        <v/>
      </c>
      <c r="V55" s="7">
        <f>Ref_Assumptions!$C$5</f>
        <v/>
      </c>
      <c r="W55" s="2" t="n">
        <v>7</v>
      </c>
      <c r="X55" s="2" t="n">
        <v>1.76685</v>
      </c>
      <c r="Y55" s="2" t="inlineStr">
        <is>
          <t>18 / 15</t>
        </is>
      </c>
      <c r="Z55" s="2" t="n">
        <v>20</v>
      </c>
    </row>
    <row r="56" ht="23.25" customHeight="1">
      <c r="A56" s="2" t="inlineStr">
        <is>
          <t>B09</t>
        </is>
      </c>
      <c r="B56" s="2" t="inlineStr">
        <is>
          <t>zone40</t>
        </is>
      </c>
      <c r="C56" s="2" t="inlineStr">
        <is>
          <t>Research laboratory</t>
        </is>
      </c>
      <c r="D56" s="2" t="n">
        <v>32.02</v>
      </c>
      <c r="E56" s="2" t="n">
        <v>0.3</v>
      </c>
      <c r="F56" s="19">
        <f>D56*E56</f>
        <v/>
      </c>
      <c r="G56" s="2" t="inlineStr">
        <is>
          <t>OccSch_Unoccupied</t>
        </is>
      </c>
      <c r="H56" s="2" t="n">
        <v>6</v>
      </c>
      <c r="I56" s="2" t="inlineStr">
        <is>
          <t>LghSch_Costant</t>
        </is>
      </c>
      <c r="J56" s="2" t="n">
        <v>2</v>
      </c>
      <c r="K56" s="2" t="inlineStr">
        <is>
          <t>EqpSch_Costant</t>
        </is>
      </c>
      <c r="L56" s="7">
        <f>IF(R56="Yes",Ref_Assumptions!$C$8,"–")</f>
        <v/>
      </c>
      <c r="M56" s="7">
        <f>IF(R56="Yes",Ref_Assumptions!$C$9,"–")</f>
        <v/>
      </c>
      <c r="N56" s="7">
        <f>IF(R56="Yes",Ref_Assumptions!$C$10,"–")</f>
        <v/>
      </c>
      <c r="O56" s="2" t="n">
        <v>70</v>
      </c>
      <c r="P56" s="2" t="n">
        <v>40</v>
      </c>
      <c r="Q56" s="2" t="inlineStr">
        <is>
          <t>Always on (calibrated AHU schedules = 1)</t>
        </is>
      </c>
      <c r="R56" s="2" t="inlineStr">
        <is>
          <t>Yes</t>
        </is>
      </c>
      <c r="S56" s="7">
        <f>IF(R56="Yes",Ref_Assumptions!$C$2,Ref_Assumptions!$C$4)</f>
        <v/>
      </c>
      <c r="T56" s="7">
        <f>IF(R56="Yes",Ref_Assumptions!$C$3,Ref_Assumptions!$C$4)</f>
        <v/>
      </c>
      <c r="U56" s="4">
        <f>(F56*S56+D56*T56)*3.6</f>
        <v/>
      </c>
      <c r="V56" s="7">
        <f>Ref_Assumptions!$C$5</f>
        <v/>
      </c>
      <c r="W56" s="2" t="n">
        <v>7</v>
      </c>
      <c r="X56" s="2" t="n">
        <v>1.90732</v>
      </c>
      <c r="Y56" s="2" t="inlineStr">
        <is>
          <t>18 / 15</t>
        </is>
      </c>
      <c r="Z56" s="2" t="n">
        <v>20</v>
      </c>
    </row>
    <row r="57" ht="23.25" customHeight="1">
      <c r="A57" s="2" t="inlineStr">
        <is>
          <t>B09</t>
        </is>
      </c>
      <c r="B57" s="2" t="inlineStr">
        <is>
          <t>zone41</t>
        </is>
      </c>
      <c r="C57" s="2" t="inlineStr">
        <is>
          <t>Research laboratory</t>
        </is>
      </c>
      <c r="D57" s="2" t="n">
        <v>64.03</v>
      </c>
      <c r="E57" s="2" t="n">
        <v>0.3</v>
      </c>
      <c r="F57" s="19">
        <f>D57*E57</f>
        <v/>
      </c>
      <c r="G57" s="2" t="inlineStr">
        <is>
          <t>OccSch_Unoccupied</t>
        </is>
      </c>
      <c r="H57" s="2" t="n">
        <v>6</v>
      </c>
      <c r="I57" s="2" t="inlineStr">
        <is>
          <t>LghSch_Costant</t>
        </is>
      </c>
      <c r="J57" s="2" t="n">
        <v>2</v>
      </c>
      <c r="K57" s="2" t="inlineStr">
        <is>
          <t>EqpSch_Costant</t>
        </is>
      </c>
      <c r="L57" s="7">
        <f>IF(R57="Yes",Ref_Assumptions!$C$8,"–")</f>
        <v/>
      </c>
      <c r="M57" s="7">
        <f>IF(R57="Yes",Ref_Assumptions!$C$9,"–")</f>
        <v/>
      </c>
      <c r="N57" s="7">
        <f>IF(R57="Yes",Ref_Assumptions!$C$10,"–")</f>
        <v/>
      </c>
      <c r="O57" s="2" t="n">
        <v>70</v>
      </c>
      <c r="P57" s="2" t="n">
        <v>40</v>
      </c>
      <c r="Q57" s="2" t="inlineStr">
        <is>
          <t>Always on (calibrated AHU schedules = 1)</t>
        </is>
      </c>
      <c r="R57" s="2" t="inlineStr">
        <is>
          <t>Yes</t>
        </is>
      </c>
      <c r="S57" s="7">
        <f>IF(R57="Yes",Ref_Assumptions!$C$2,Ref_Assumptions!$C$4)</f>
        <v/>
      </c>
      <c r="T57" s="7">
        <f>IF(R57="Yes",Ref_Assumptions!$C$3,Ref_Assumptions!$C$4)</f>
        <v/>
      </c>
      <c r="U57" s="4">
        <f>(F57*S57+D57*T57)*3.6</f>
        <v/>
      </c>
      <c r="V57" s="7">
        <f>Ref_Assumptions!$C$5</f>
        <v/>
      </c>
      <c r="W57" s="2" t="n">
        <v>7</v>
      </c>
      <c r="X57" s="2" t="n">
        <v>1.75423</v>
      </c>
      <c r="Y57" s="2" t="inlineStr">
        <is>
          <t>18 / 15</t>
        </is>
      </c>
      <c r="Z57" s="2" t="n">
        <v>20</v>
      </c>
    </row>
    <row r="58" ht="23.25" customHeight="1">
      <c r="A58" s="2" t="inlineStr">
        <is>
          <t>B09</t>
        </is>
      </c>
      <c r="B58" s="2" t="inlineStr">
        <is>
          <t>zone42</t>
        </is>
      </c>
      <c r="C58" s="2" t="inlineStr">
        <is>
          <t>Research laboratory</t>
        </is>
      </c>
      <c r="D58" s="2" t="n">
        <v>161.34</v>
      </c>
      <c r="E58" s="2" t="n">
        <v>0.3</v>
      </c>
      <c r="F58" s="19">
        <f>D58*E58</f>
        <v/>
      </c>
      <c r="G58" s="2" t="inlineStr">
        <is>
          <t>OccSch_Unoccupied</t>
        </is>
      </c>
      <c r="H58" s="2" t="n">
        <v>6</v>
      </c>
      <c r="I58" s="2" t="inlineStr">
        <is>
          <t>LghSch_Costant</t>
        </is>
      </c>
      <c r="J58" s="2" t="n">
        <v>2</v>
      </c>
      <c r="K58" s="2" t="inlineStr">
        <is>
          <t>EqpSch_Costant</t>
        </is>
      </c>
      <c r="L58" s="7">
        <f>IF(R58="Yes",Ref_Assumptions!$C$8,"–")</f>
        <v/>
      </c>
      <c r="M58" s="7">
        <f>IF(R58="Yes",Ref_Assumptions!$C$9,"–")</f>
        <v/>
      </c>
      <c r="N58" s="7">
        <f>IF(R58="Yes",Ref_Assumptions!$C$10,"–")</f>
        <v/>
      </c>
      <c r="O58" s="2" t="n">
        <v>70</v>
      </c>
      <c r="P58" s="2" t="n">
        <v>40</v>
      </c>
      <c r="Q58" s="2" t="inlineStr">
        <is>
          <t>Always on (calibrated AHU schedules = 1)</t>
        </is>
      </c>
      <c r="R58" s="2" t="inlineStr">
        <is>
          <t>Yes</t>
        </is>
      </c>
      <c r="S58" s="7">
        <f>IF(R58="Yes",Ref_Assumptions!$C$2,Ref_Assumptions!$C$4)</f>
        <v/>
      </c>
      <c r="T58" s="7">
        <f>IF(R58="Yes",Ref_Assumptions!$C$3,Ref_Assumptions!$C$4)</f>
        <v/>
      </c>
      <c r="U58" s="4">
        <f>(F58*S58+D58*T58)*3.6</f>
        <v/>
      </c>
      <c r="V58" s="7">
        <f>Ref_Assumptions!$C$5</f>
        <v/>
      </c>
      <c r="W58" s="2" t="n">
        <v>7</v>
      </c>
      <c r="X58" s="2" t="n">
        <v>1.89123</v>
      </c>
      <c r="Y58" s="2" t="inlineStr">
        <is>
          <t>18 / 15</t>
        </is>
      </c>
      <c r="Z58" s="2" t="n">
        <v>20</v>
      </c>
    </row>
    <row r="59" ht="23.25" customHeight="1">
      <c r="A59" s="2" t="inlineStr">
        <is>
          <t>B09</t>
        </is>
      </c>
      <c r="B59" s="2" t="inlineStr">
        <is>
          <t>zone43</t>
        </is>
      </c>
      <c r="C59" s="2" t="inlineStr">
        <is>
          <t>Research laboratory</t>
        </is>
      </c>
      <c r="D59" s="2" t="n">
        <v>59.89</v>
      </c>
      <c r="E59" s="2" t="n">
        <v>0.3</v>
      </c>
      <c r="F59" s="19">
        <f>D59*E59</f>
        <v/>
      </c>
      <c r="G59" s="2" t="inlineStr">
        <is>
          <t>OccSch_Unoccupied</t>
        </is>
      </c>
      <c r="H59" s="2" t="n">
        <v>6</v>
      </c>
      <c r="I59" s="2" t="inlineStr">
        <is>
          <t>LghSch_Costant</t>
        </is>
      </c>
      <c r="J59" s="2" t="n">
        <v>2</v>
      </c>
      <c r="K59" s="2" t="inlineStr">
        <is>
          <t>EqpSch_Costant</t>
        </is>
      </c>
      <c r="L59" s="7">
        <f>IF(R59="Yes",Ref_Assumptions!$C$8,"–")</f>
        <v/>
      </c>
      <c r="M59" s="7">
        <f>IF(R59="Yes",Ref_Assumptions!$C$9,"–")</f>
        <v/>
      </c>
      <c r="N59" s="7">
        <f>IF(R59="Yes",Ref_Assumptions!$C$10,"–")</f>
        <v/>
      </c>
      <c r="O59" s="2" t="n">
        <v>70</v>
      </c>
      <c r="P59" s="2" t="n">
        <v>40</v>
      </c>
      <c r="Q59" s="2" t="inlineStr">
        <is>
          <t>Always on (calibrated AHU schedules = 1)</t>
        </is>
      </c>
      <c r="R59" s="2" t="inlineStr">
        <is>
          <t>Yes</t>
        </is>
      </c>
      <c r="S59" s="7">
        <f>IF(R59="Yes",Ref_Assumptions!$C$2,Ref_Assumptions!$C$4)</f>
        <v/>
      </c>
      <c r="T59" s="7">
        <f>IF(R59="Yes",Ref_Assumptions!$C$3,Ref_Assumptions!$C$4)</f>
        <v/>
      </c>
      <c r="U59" s="4">
        <f>(F59*S59+D59*T59)*3.6</f>
        <v/>
      </c>
      <c r="V59" s="7">
        <f>Ref_Assumptions!$C$5</f>
        <v/>
      </c>
      <c r="W59" s="2" t="n">
        <v>7</v>
      </c>
      <c r="X59" s="2" t="n">
        <v>1.77692</v>
      </c>
      <c r="Y59" s="2" t="inlineStr">
        <is>
          <t>18 / 15</t>
        </is>
      </c>
      <c r="Z59" s="2" t="n">
        <v>20</v>
      </c>
    </row>
    <row r="60" ht="23.25" customHeight="1">
      <c r="A60" s="2" t="inlineStr">
        <is>
          <t>B09</t>
        </is>
      </c>
      <c r="B60" s="2" t="inlineStr">
        <is>
          <t>zone44</t>
        </is>
      </c>
      <c r="C60" s="2" t="inlineStr">
        <is>
          <t>Research laboratory</t>
        </is>
      </c>
      <c r="D60" s="2" t="n">
        <v>51.46</v>
      </c>
      <c r="E60" s="2" t="n">
        <v>0.3</v>
      </c>
      <c r="F60" s="19">
        <f>D60*E60</f>
        <v/>
      </c>
      <c r="G60" s="2" t="inlineStr">
        <is>
          <t>OccSch_Unoccupied</t>
        </is>
      </c>
      <c r="H60" s="2" t="n">
        <v>6</v>
      </c>
      <c r="I60" s="2" t="inlineStr">
        <is>
          <t>LghSch_Costant</t>
        </is>
      </c>
      <c r="J60" s="2" t="n">
        <v>2</v>
      </c>
      <c r="K60" s="2" t="inlineStr">
        <is>
          <t>EqpSch_Costant</t>
        </is>
      </c>
      <c r="L60" s="7">
        <f>IF(R60="Yes",Ref_Assumptions!$C$8,"–")</f>
        <v/>
      </c>
      <c r="M60" s="7">
        <f>IF(R60="Yes",Ref_Assumptions!$C$9,"–")</f>
        <v/>
      </c>
      <c r="N60" s="7">
        <f>IF(R60="Yes",Ref_Assumptions!$C$10,"–")</f>
        <v/>
      </c>
      <c r="O60" s="2" t="n">
        <v>70</v>
      </c>
      <c r="P60" s="2" t="n">
        <v>40</v>
      </c>
      <c r="Q60" s="2" t="inlineStr">
        <is>
          <t>Always on (calibrated AHU schedules = 1)</t>
        </is>
      </c>
      <c r="R60" s="2" t="inlineStr">
        <is>
          <t>Yes</t>
        </is>
      </c>
      <c r="S60" s="7">
        <f>IF(R60="Yes",Ref_Assumptions!$C$2,Ref_Assumptions!$C$4)</f>
        <v/>
      </c>
      <c r="T60" s="7">
        <f>IF(R60="Yes",Ref_Assumptions!$C$3,Ref_Assumptions!$C$4)</f>
        <v/>
      </c>
      <c r="U60" s="4">
        <f>(F60*S60+D60*T60)*3.6</f>
        <v/>
      </c>
      <c r="V60" s="7">
        <f>Ref_Assumptions!$C$5</f>
        <v/>
      </c>
      <c r="W60" s="2" t="n">
        <v>7</v>
      </c>
      <c r="X60" s="2" t="n">
        <v>1.69952</v>
      </c>
      <c r="Y60" s="2" t="inlineStr">
        <is>
          <t>18 / 15</t>
        </is>
      </c>
      <c r="Z60" s="2" t="n">
        <v>20</v>
      </c>
    </row>
    <row r="61" ht="23.25" customHeight="1">
      <c r="A61" s="2" t="inlineStr">
        <is>
          <t>B09</t>
        </is>
      </c>
      <c r="B61" s="2" t="inlineStr">
        <is>
          <t>zone45</t>
        </is>
      </c>
      <c r="C61" s="2" t="inlineStr">
        <is>
          <t>Lecture hall / study room</t>
        </is>
      </c>
      <c r="D61" s="2" t="n">
        <v>183.32</v>
      </c>
      <c r="E61" s="2" t="n">
        <v>0.6</v>
      </c>
      <c r="F61" s="19">
        <f>D61*E61</f>
        <v/>
      </c>
      <c r="G61" s="2" t="inlineStr">
        <is>
          <t>OccSch_B1.5</t>
        </is>
      </c>
      <c r="H61" s="2" t="n">
        <v>6</v>
      </c>
      <c r="I61" s="2" t="inlineStr">
        <is>
          <t>LghSch_Costant</t>
        </is>
      </c>
      <c r="J61" s="2" t="n">
        <v>2</v>
      </c>
      <c r="K61" s="2" t="inlineStr">
        <is>
          <t>EqpSch_Costant</t>
        </is>
      </c>
      <c r="L61" s="7">
        <f>IF(R61="Yes",Ref_Assumptions!$C$8,"–")</f>
        <v/>
      </c>
      <c r="M61" s="7">
        <f>IF(R61="Yes",Ref_Assumptions!$C$9,"–")</f>
        <v/>
      </c>
      <c r="N61" s="7">
        <f>IF(R61="Yes",Ref_Assumptions!$C$10,"–")</f>
        <v/>
      </c>
      <c r="O61" s="2" t="n">
        <v>70</v>
      </c>
      <c r="P61" s="2" t="n">
        <v>40</v>
      </c>
      <c r="Q61" s="2" t="inlineStr">
        <is>
          <t>Always on (calibrated AHU schedules = 1)</t>
        </is>
      </c>
      <c r="R61" s="2" t="inlineStr">
        <is>
          <t>Yes</t>
        </is>
      </c>
      <c r="S61" s="7">
        <f>IF(R61="Yes",Ref_Assumptions!$C$2,Ref_Assumptions!$C$4)</f>
        <v/>
      </c>
      <c r="T61" s="7">
        <f>IF(R61="Yes",Ref_Assumptions!$C$3,Ref_Assumptions!$C$4)</f>
        <v/>
      </c>
      <c r="U61" s="4">
        <f>(F61*S61+D61*T61)*3.6</f>
        <v/>
      </c>
      <c r="V61" s="7">
        <f>Ref_Assumptions!$C$5</f>
        <v/>
      </c>
      <c r="W61" s="2" t="n">
        <v>7</v>
      </c>
      <c r="X61" s="2" t="n">
        <v>3.67309</v>
      </c>
      <c r="Y61" s="2" t="inlineStr">
        <is>
          <t>18 / 15</t>
        </is>
      </c>
      <c r="Z61" s="2" t="n">
        <v>20</v>
      </c>
    </row>
    <row r="62" ht="23.25" customHeight="1">
      <c r="A62" s="2" t="inlineStr">
        <is>
          <t>B09</t>
        </is>
      </c>
      <c r="B62" s="2" t="inlineStr">
        <is>
          <t>zone46</t>
        </is>
      </c>
      <c r="C62" s="2" t="inlineStr">
        <is>
          <t>Lecture hall / study room</t>
        </is>
      </c>
      <c r="D62" s="2" t="n">
        <v>182.71</v>
      </c>
      <c r="E62" s="2" t="n">
        <v>0.6</v>
      </c>
      <c r="F62" s="19">
        <f>D62*E62</f>
        <v/>
      </c>
      <c r="G62" s="2" t="inlineStr">
        <is>
          <t>OccSch_B1.4</t>
        </is>
      </c>
      <c r="H62" s="2" t="n">
        <v>6</v>
      </c>
      <c r="I62" s="2" t="inlineStr">
        <is>
          <t>LghSch_Costant</t>
        </is>
      </c>
      <c r="J62" s="2" t="n">
        <v>2</v>
      </c>
      <c r="K62" s="2" t="inlineStr">
        <is>
          <t>EqpSch_Costant</t>
        </is>
      </c>
      <c r="L62" s="7">
        <f>IF(R62="Yes",Ref_Assumptions!$C$8,"–")</f>
        <v/>
      </c>
      <c r="M62" s="7">
        <f>IF(R62="Yes",Ref_Assumptions!$C$9,"–")</f>
        <v/>
      </c>
      <c r="N62" s="7">
        <f>IF(R62="Yes",Ref_Assumptions!$C$10,"–")</f>
        <v/>
      </c>
      <c r="O62" s="2" t="n">
        <v>70</v>
      </c>
      <c r="P62" s="2" t="n">
        <v>40</v>
      </c>
      <c r="Q62" s="2" t="inlineStr">
        <is>
          <t>Always on (calibrated AHU schedules = 1)</t>
        </is>
      </c>
      <c r="R62" s="2" t="inlineStr">
        <is>
          <t>Yes</t>
        </is>
      </c>
      <c r="S62" s="7">
        <f>IF(R62="Yes",Ref_Assumptions!$C$2,Ref_Assumptions!$C$4)</f>
        <v/>
      </c>
      <c r="T62" s="7">
        <f>IF(R62="Yes",Ref_Assumptions!$C$3,Ref_Assumptions!$C$4)</f>
        <v/>
      </c>
      <c r="U62" s="4">
        <f>(F62*S62+D62*T62)*3.6</f>
        <v/>
      </c>
      <c r="V62" s="7">
        <f>Ref_Assumptions!$C$5</f>
        <v/>
      </c>
      <c r="W62" s="2" t="n">
        <v>7</v>
      </c>
      <c r="X62" s="2" t="n">
        <v>4.29034</v>
      </c>
      <c r="Y62" s="2" t="inlineStr">
        <is>
          <t>18 / 15</t>
        </is>
      </c>
      <c r="Z62" s="2" t="n">
        <v>20</v>
      </c>
    </row>
    <row r="63" ht="23.25" customHeight="1">
      <c r="A63" s="2" t="inlineStr">
        <is>
          <t>B09</t>
        </is>
      </c>
      <c r="B63" s="2" t="inlineStr">
        <is>
          <t>zone47</t>
        </is>
      </c>
      <c r="C63" s="2" t="inlineStr">
        <is>
          <t>Lecture hall / study room</t>
        </is>
      </c>
      <c r="D63" s="2" t="n">
        <v>109.33</v>
      </c>
      <c r="E63" s="2" t="n">
        <v>0.6</v>
      </c>
      <c r="F63" s="19">
        <f>D63*E63</f>
        <v/>
      </c>
      <c r="G63" s="2" t="inlineStr">
        <is>
          <t>OccSch_B1.2</t>
        </is>
      </c>
      <c r="H63" s="2" t="n">
        <v>6</v>
      </c>
      <c r="I63" s="2" t="inlineStr">
        <is>
          <t>LghSch_Costant</t>
        </is>
      </c>
      <c r="J63" s="2" t="n">
        <v>2</v>
      </c>
      <c r="K63" s="2" t="inlineStr">
        <is>
          <t>EqpSch_Costant</t>
        </is>
      </c>
      <c r="L63" s="7">
        <f>IF(R63="Yes",Ref_Assumptions!$C$8,"–")</f>
        <v/>
      </c>
      <c r="M63" s="7">
        <f>IF(R63="Yes",Ref_Assumptions!$C$9,"–")</f>
        <v/>
      </c>
      <c r="N63" s="7">
        <f>IF(R63="Yes",Ref_Assumptions!$C$10,"–")</f>
        <v/>
      </c>
      <c r="O63" s="2" t="n">
        <v>70</v>
      </c>
      <c r="P63" s="2" t="n">
        <v>40</v>
      </c>
      <c r="Q63" s="2" t="inlineStr">
        <is>
          <t>Always on (calibrated AHU schedules = 1)</t>
        </is>
      </c>
      <c r="R63" s="2" t="inlineStr">
        <is>
          <t>Yes</t>
        </is>
      </c>
      <c r="S63" s="7">
        <f>IF(R63="Yes",Ref_Assumptions!$C$2,Ref_Assumptions!$C$4)</f>
        <v/>
      </c>
      <c r="T63" s="7">
        <f>IF(R63="Yes",Ref_Assumptions!$C$3,Ref_Assumptions!$C$4)</f>
        <v/>
      </c>
      <c r="U63" s="4">
        <f>(F63*S63+D63*T63)*3.6</f>
        <v/>
      </c>
      <c r="V63" s="7">
        <f>Ref_Assumptions!$C$5</f>
        <v/>
      </c>
      <c r="W63" s="2" t="n">
        <v>7</v>
      </c>
      <c r="X63" s="2" t="n">
        <v>3.049</v>
      </c>
      <c r="Y63" s="2" t="inlineStr">
        <is>
          <t>18 / 15</t>
        </is>
      </c>
      <c r="Z63" s="2" t="n">
        <v>20</v>
      </c>
    </row>
    <row r="64" ht="23.25" customHeight="1">
      <c r="A64" s="2" t="inlineStr">
        <is>
          <t>B09</t>
        </is>
      </c>
      <c r="B64" s="2" t="inlineStr">
        <is>
          <t>zone48</t>
        </is>
      </c>
      <c r="C64" s="2" t="inlineStr">
        <is>
          <t>Lecture hall / study room</t>
        </is>
      </c>
      <c r="D64" s="2" t="n">
        <v>183.48</v>
      </c>
      <c r="E64" s="2" t="n">
        <v>0.6</v>
      </c>
      <c r="F64" s="19">
        <f>D64*E64</f>
        <v/>
      </c>
      <c r="G64" s="2" t="inlineStr">
        <is>
          <t>OccSch_B1.1</t>
        </is>
      </c>
      <c r="H64" s="2" t="n">
        <v>6</v>
      </c>
      <c r="I64" s="2" t="inlineStr">
        <is>
          <t>LghSch_Costant</t>
        </is>
      </c>
      <c r="J64" s="2" t="n">
        <v>2</v>
      </c>
      <c r="K64" s="2" t="inlineStr">
        <is>
          <t>EqpSch_Costant</t>
        </is>
      </c>
      <c r="L64" s="7">
        <f>IF(R64="Yes",Ref_Assumptions!$C$8,"–")</f>
        <v/>
      </c>
      <c r="M64" s="7">
        <f>IF(R64="Yes",Ref_Assumptions!$C$9,"–")</f>
        <v/>
      </c>
      <c r="N64" s="7">
        <f>IF(R64="Yes",Ref_Assumptions!$C$10,"–")</f>
        <v/>
      </c>
      <c r="O64" s="2" t="n">
        <v>70</v>
      </c>
      <c r="P64" s="2" t="n">
        <v>40</v>
      </c>
      <c r="Q64" s="2" t="inlineStr">
        <is>
          <t>Always on (calibrated AHU schedules = 1)</t>
        </is>
      </c>
      <c r="R64" s="2" t="inlineStr">
        <is>
          <t>Yes</t>
        </is>
      </c>
      <c r="S64" s="7">
        <f>IF(R64="Yes",Ref_Assumptions!$C$2,Ref_Assumptions!$C$4)</f>
        <v/>
      </c>
      <c r="T64" s="7">
        <f>IF(R64="Yes",Ref_Assumptions!$C$3,Ref_Assumptions!$C$4)</f>
        <v/>
      </c>
      <c r="U64" s="4">
        <f>(F64*S64+D64*T64)*3.6</f>
        <v/>
      </c>
      <c r="V64" s="7">
        <f>Ref_Assumptions!$C$5</f>
        <v/>
      </c>
      <c r="W64" s="2" t="n">
        <v>7</v>
      </c>
      <c r="X64" s="2" t="n">
        <v>5.52093</v>
      </c>
      <c r="Y64" s="2" t="inlineStr">
        <is>
          <t>18 / 15</t>
        </is>
      </c>
      <c r="Z64" s="2" t="n">
        <v>20</v>
      </c>
    </row>
    <row r="65" ht="23.25" customHeight="1">
      <c r="A65" s="2" t="inlineStr">
        <is>
          <t>B09</t>
        </is>
      </c>
      <c r="B65" s="2" t="inlineStr">
        <is>
          <t>zone49</t>
        </is>
      </c>
      <c r="C65" s="2" t="inlineStr">
        <is>
          <t>Research laboratory</t>
        </is>
      </c>
      <c r="D65" s="2" t="n">
        <v>53.66</v>
      </c>
      <c r="E65" s="2" t="n">
        <v>0.3</v>
      </c>
      <c r="F65" s="19">
        <f>D65*E65</f>
        <v/>
      </c>
      <c r="G65" s="2" t="inlineStr">
        <is>
          <t>OccSch_Unoccupied</t>
        </is>
      </c>
      <c r="H65" s="2" t="n">
        <v>6</v>
      </c>
      <c r="I65" s="2" t="inlineStr">
        <is>
          <t>LghSch_Costant</t>
        </is>
      </c>
      <c r="J65" s="2" t="n">
        <v>2</v>
      </c>
      <c r="K65" s="2" t="inlineStr">
        <is>
          <t>EqpSch_Costant</t>
        </is>
      </c>
      <c r="L65" s="7">
        <f>IF(R65="Yes",Ref_Assumptions!$C$8,"–")</f>
        <v/>
      </c>
      <c r="M65" s="7">
        <f>IF(R65="Yes",Ref_Assumptions!$C$9,"–")</f>
        <v/>
      </c>
      <c r="N65" s="7">
        <f>IF(R65="Yes",Ref_Assumptions!$C$10,"–")</f>
        <v/>
      </c>
      <c r="O65" s="2" t="n">
        <v>70</v>
      </c>
      <c r="P65" s="2" t="n">
        <v>40</v>
      </c>
      <c r="Q65" s="2" t="inlineStr">
        <is>
          <t>Always on (calibrated AHU schedules = 1)</t>
        </is>
      </c>
      <c r="R65" s="2" t="inlineStr">
        <is>
          <t>Yes</t>
        </is>
      </c>
      <c r="S65" s="7">
        <f>IF(R65="Yes",Ref_Assumptions!$C$2,Ref_Assumptions!$C$4)</f>
        <v/>
      </c>
      <c r="T65" s="7">
        <f>IF(R65="Yes",Ref_Assumptions!$C$3,Ref_Assumptions!$C$4)</f>
        <v/>
      </c>
      <c r="U65" s="4">
        <f>(F65*S65+D65*T65)*3.6</f>
        <v/>
      </c>
      <c r="V65" s="7">
        <f>Ref_Assumptions!$C$5</f>
        <v/>
      </c>
      <c r="W65" s="2" t="n">
        <v>7</v>
      </c>
      <c r="X65" s="2" t="n">
        <v>1.8737</v>
      </c>
      <c r="Y65" s="2" t="inlineStr">
        <is>
          <t>18 / 15</t>
        </is>
      </c>
      <c r="Z65" s="2" t="n">
        <v>20</v>
      </c>
    </row>
    <row r="66" ht="23.25" customHeight="1">
      <c r="A66" s="2" t="inlineStr">
        <is>
          <t>B09</t>
        </is>
      </c>
      <c r="B66" s="2" t="inlineStr">
        <is>
          <t>zone50</t>
        </is>
      </c>
      <c r="C66" s="2" t="inlineStr">
        <is>
          <t>Research laboratory</t>
        </is>
      </c>
      <c r="D66" s="2" t="n">
        <v>63.84</v>
      </c>
      <c r="E66" s="2" t="n">
        <v>0.3</v>
      </c>
      <c r="F66" s="19">
        <f>D66*E66</f>
        <v/>
      </c>
      <c r="G66" s="2" t="inlineStr">
        <is>
          <t>OccSch_Unoccupied</t>
        </is>
      </c>
      <c r="H66" s="2" t="n">
        <v>6</v>
      </c>
      <c r="I66" s="2" t="inlineStr">
        <is>
          <t>LghSch_Costant</t>
        </is>
      </c>
      <c r="J66" s="2" t="n">
        <v>2</v>
      </c>
      <c r="K66" s="2" t="inlineStr">
        <is>
          <t>EqpSch_Costant</t>
        </is>
      </c>
      <c r="L66" s="7">
        <f>IF(R66="Yes",Ref_Assumptions!$C$8,"–")</f>
        <v/>
      </c>
      <c r="M66" s="7">
        <f>IF(R66="Yes",Ref_Assumptions!$C$9,"–")</f>
        <v/>
      </c>
      <c r="N66" s="7">
        <f>IF(R66="Yes",Ref_Assumptions!$C$10,"–")</f>
        <v/>
      </c>
      <c r="O66" s="2" t="n">
        <v>70</v>
      </c>
      <c r="P66" s="2" t="n">
        <v>40</v>
      </c>
      <c r="Q66" s="2" t="inlineStr">
        <is>
          <t>Always on (calibrated AHU schedules = 1)</t>
        </is>
      </c>
      <c r="R66" s="2" t="inlineStr">
        <is>
          <t>Yes</t>
        </is>
      </c>
      <c r="S66" s="7">
        <f>IF(R66="Yes",Ref_Assumptions!$C$2,Ref_Assumptions!$C$4)</f>
        <v/>
      </c>
      <c r="T66" s="7">
        <f>IF(R66="Yes",Ref_Assumptions!$C$3,Ref_Assumptions!$C$4)</f>
        <v/>
      </c>
      <c r="U66" s="4">
        <f>(F66*S66+D66*T66)*3.6</f>
        <v/>
      </c>
      <c r="V66" s="7">
        <f>Ref_Assumptions!$C$5</f>
        <v/>
      </c>
      <c r="W66" s="2" t="n">
        <v>7</v>
      </c>
      <c r="X66" s="2" t="n">
        <v>1.76674</v>
      </c>
      <c r="Y66" s="2" t="inlineStr">
        <is>
          <t>18 / 15</t>
        </is>
      </c>
      <c r="Z66" s="2" t="n">
        <v>20</v>
      </c>
    </row>
    <row r="67" ht="23.25" customHeight="1">
      <c r="A67" s="2" t="inlineStr">
        <is>
          <t>B10</t>
        </is>
      </c>
      <c r="B67" s="2" t="inlineStr">
        <is>
          <t>zone00</t>
        </is>
      </c>
      <c r="C67" s="2" t="inlineStr">
        <is>
          <t>Conditioned service / circulation</t>
        </is>
      </c>
      <c r="D67" s="2" t="n">
        <v>12.82</v>
      </c>
      <c r="E67" s="2" t="n">
        <v>0</v>
      </c>
      <c r="F67" s="19">
        <f>D67*E67</f>
        <v/>
      </c>
      <c r="G67" s="2" t="inlineStr">
        <is>
          <t>OccSch_Unoccupied</t>
        </is>
      </c>
      <c r="H67" s="2" t="n">
        <v>6</v>
      </c>
      <c r="I67" s="2" t="inlineStr">
        <is>
          <t>LghSch_Costant</t>
        </is>
      </c>
      <c r="J67" s="2" t="n">
        <v>2</v>
      </c>
      <c r="K67" s="2" t="inlineStr">
        <is>
          <t>EqpSch_Costant</t>
        </is>
      </c>
      <c r="L67" s="7">
        <f>IF(R67="Yes",Ref_Assumptions!$C$8,"–")</f>
        <v/>
      </c>
      <c r="M67" s="7">
        <f>IF(R67="Yes",Ref_Assumptions!$C$9,"–")</f>
        <v/>
      </c>
      <c r="N67" s="7">
        <f>IF(R67="Yes",Ref_Assumptions!$C$10,"–")</f>
        <v/>
      </c>
      <c r="O67" s="2" t="n">
        <v>100</v>
      </c>
      <c r="P67" s="2" t="n">
        <v>0</v>
      </c>
      <c r="Q67" s="2" t="inlineStr">
        <is>
          <t>Always on (calibrated AHU schedules = 1)</t>
        </is>
      </c>
      <c r="R67" s="2" t="inlineStr">
        <is>
          <t>Yes</t>
        </is>
      </c>
      <c r="S67" s="7">
        <f>IF(R67="Yes",Ref_Assumptions!$C$2,Ref_Assumptions!$C$4)</f>
        <v/>
      </c>
      <c r="T67" s="7">
        <f>IF(R67="Yes",Ref_Assumptions!$C$3,Ref_Assumptions!$C$4)</f>
        <v/>
      </c>
      <c r="U67" s="4">
        <f>(F67*S67+D67*T67)*3.6</f>
        <v/>
      </c>
      <c r="V67" s="7">
        <f>Ref_Assumptions!$C$5</f>
        <v/>
      </c>
      <c r="W67" s="2" t="n">
        <v>0</v>
      </c>
      <c r="X67" s="2" t="n">
        <v>8</v>
      </c>
      <c r="Y67" s="2" t="inlineStr">
        <is>
          <t>22 / 18</t>
        </is>
      </c>
      <c r="Z67" s="2" t="n">
        <v>22</v>
      </c>
    </row>
    <row r="68" ht="23.25" customHeight="1">
      <c r="A68" s="2" t="inlineStr">
        <is>
          <t>B10</t>
        </is>
      </c>
      <c r="B68" s="2" t="inlineStr">
        <is>
          <t>zone01</t>
        </is>
      </c>
      <c r="C68" s="2" t="inlineStr">
        <is>
          <t>Unconditioned (stairs, shafts, storage, parking)</t>
        </is>
      </c>
      <c r="D68" s="2" t="n">
        <v>26.32</v>
      </c>
      <c r="E68" s="2" t="n">
        <v>0</v>
      </c>
      <c r="F68" s="19">
        <f>D68*E68</f>
        <v/>
      </c>
      <c r="G68" s="2" t="inlineStr">
        <is>
          <t>OccSch_Unoccupied</t>
        </is>
      </c>
      <c r="H68" s="2" t="n">
        <v>6</v>
      </c>
      <c r="I68" s="2" t="inlineStr">
        <is>
          <t>LghSch_Costant</t>
        </is>
      </c>
      <c r="J68" s="2" t="n">
        <v>2</v>
      </c>
      <c r="K68" s="2" t="inlineStr">
        <is>
          <t>EqpSch_Costant</t>
        </is>
      </c>
      <c r="L68" s="7">
        <f>IF(R68="Yes",Ref_Assumptions!$C$8,"–")</f>
        <v/>
      </c>
      <c r="M68" s="7">
        <f>IF(R68="Yes",Ref_Assumptions!$C$9,"–")</f>
        <v/>
      </c>
      <c r="N68" s="7">
        <f>IF(R68="Yes",Ref_Assumptions!$C$10,"–")</f>
        <v/>
      </c>
      <c r="O68" s="2" t="n">
        <v>70</v>
      </c>
      <c r="P68" s="2" t="n">
        <v>40</v>
      </c>
      <c r="Q68" s="2" t="inlineStr">
        <is>
          <t>Off (AlwaysOff)</t>
        </is>
      </c>
      <c r="R68" s="2" t="inlineStr">
        <is>
          <t>No</t>
        </is>
      </c>
      <c r="S68" s="7">
        <f>IF(R68="Yes",Ref_Assumptions!$C$2,Ref_Assumptions!$C$4)</f>
        <v/>
      </c>
      <c r="T68" s="7">
        <f>IF(R68="Yes",Ref_Assumptions!$C$3,Ref_Assumptions!$C$4)</f>
        <v/>
      </c>
      <c r="U68" s="4">
        <f>(F68*S68+D68*T68)*3.6</f>
        <v/>
      </c>
      <c r="V68" s="7">
        <f>Ref_Assumptions!$C$5</f>
        <v/>
      </c>
      <c r="W68" s="2" t="n">
        <v>0</v>
      </c>
      <c r="X68" s="2" t="n">
        <v>1</v>
      </c>
      <c r="Y68" s="2" t="inlineStr">
        <is>
          <t>22 / 18</t>
        </is>
      </c>
      <c r="Z68" s="2" t="n">
        <v>22</v>
      </c>
    </row>
    <row r="69" ht="23.25" customHeight="1">
      <c r="A69" s="2" t="inlineStr">
        <is>
          <t>B10</t>
        </is>
      </c>
      <c r="B69" s="2" t="inlineStr">
        <is>
          <t>zone02</t>
        </is>
      </c>
      <c r="C69" s="2" t="inlineStr">
        <is>
          <t>Unconditioned (stairs, shafts, storage, parking)</t>
        </is>
      </c>
      <c r="D69" s="2" t="n">
        <v>124.8</v>
      </c>
      <c r="E69" s="2" t="n">
        <v>0</v>
      </c>
      <c r="F69" s="19">
        <f>D69*E69</f>
        <v/>
      </c>
      <c r="G69" s="2" t="inlineStr">
        <is>
          <t>OccSch_Unoccupied</t>
        </is>
      </c>
      <c r="H69" s="2" t="n">
        <v>6</v>
      </c>
      <c r="I69" s="2" t="inlineStr">
        <is>
          <t>AlwaysOff</t>
        </is>
      </c>
      <c r="J69" s="2" t="n">
        <v>0</v>
      </c>
      <c r="K69" s="2" t="inlineStr">
        <is>
          <t>AlwaysOff</t>
        </is>
      </c>
      <c r="L69" s="7">
        <f>IF(R69="Yes",Ref_Assumptions!$C$8,"–")</f>
        <v/>
      </c>
      <c r="M69" s="7">
        <f>IF(R69="Yes",Ref_Assumptions!$C$9,"–")</f>
        <v/>
      </c>
      <c r="N69" s="7">
        <f>IF(R69="Yes",Ref_Assumptions!$C$10,"–")</f>
        <v/>
      </c>
      <c r="O69" s="2" t="n">
        <v>70</v>
      </c>
      <c r="P69" s="2" t="n">
        <v>40</v>
      </c>
      <c r="Q69" s="2" t="inlineStr">
        <is>
          <t>Off (AlwaysOff)</t>
        </is>
      </c>
      <c r="R69" s="2" t="inlineStr">
        <is>
          <t>No</t>
        </is>
      </c>
      <c r="S69" s="7">
        <f>IF(R69="Yes",Ref_Assumptions!$C$2,Ref_Assumptions!$C$4)</f>
        <v/>
      </c>
      <c r="T69" s="7">
        <f>IF(R69="Yes",Ref_Assumptions!$C$3,Ref_Assumptions!$C$4)</f>
        <v/>
      </c>
      <c r="U69" s="4">
        <f>(F69*S69+D69*T69)*3.6</f>
        <v/>
      </c>
      <c r="V69" s="7">
        <f>Ref_Assumptions!$C$5</f>
        <v/>
      </c>
      <c r="W69" s="2" t="n">
        <v>0</v>
      </c>
      <c r="X69" s="2" t="n">
        <v>0</v>
      </c>
      <c r="Y69" s="2" t="inlineStr">
        <is>
          <t>22 / 18</t>
        </is>
      </c>
      <c r="Z69" s="2" t="n">
        <v>22</v>
      </c>
    </row>
    <row r="70" ht="23.25" customHeight="1">
      <c r="A70" s="2" t="inlineStr">
        <is>
          <t>B10</t>
        </is>
      </c>
      <c r="B70" s="2" t="inlineStr">
        <is>
          <t>zone03</t>
        </is>
      </c>
      <c r="C70" s="2" t="inlineStr">
        <is>
          <t>Unconditioned (stairs, shafts, storage, parking)</t>
        </is>
      </c>
      <c r="D70" s="2" t="n">
        <v>5.9</v>
      </c>
      <c r="E70" s="2" t="n">
        <v>0</v>
      </c>
      <c r="F70" s="19">
        <f>D70*E70</f>
        <v/>
      </c>
      <c r="G70" s="2" t="inlineStr">
        <is>
          <t>OccSch_Unoccupied</t>
        </is>
      </c>
      <c r="H70" s="2" t="n">
        <v>6</v>
      </c>
      <c r="I70" s="2" t="inlineStr">
        <is>
          <t>LghSch_Costant</t>
        </is>
      </c>
      <c r="J70" s="2" t="n">
        <v>2</v>
      </c>
      <c r="K70" s="2" t="inlineStr">
        <is>
          <t>EqpSch_Costant</t>
        </is>
      </c>
      <c r="L70" s="7">
        <f>IF(R70="Yes",Ref_Assumptions!$C$8,"–")</f>
        <v/>
      </c>
      <c r="M70" s="7">
        <f>IF(R70="Yes",Ref_Assumptions!$C$9,"–")</f>
        <v/>
      </c>
      <c r="N70" s="7">
        <f>IF(R70="Yes",Ref_Assumptions!$C$10,"–")</f>
        <v/>
      </c>
      <c r="O70" s="2" t="n">
        <v>70</v>
      </c>
      <c r="P70" s="2" t="n">
        <v>40</v>
      </c>
      <c r="Q70" s="2" t="inlineStr">
        <is>
          <t>Off (AlwaysOff)</t>
        </is>
      </c>
      <c r="R70" s="2" t="inlineStr">
        <is>
          <t>No</t>
        </is>
      </c>
      <c r="S70" s="7">
        <f>IF(R70="Yes",Ref_Assumptions!$C$2,Ref_Assumptions!$C$4)</f>
        <v/>
      </c>
      <c r="T70" s="7">
        <f>IF(R70="Yes",Ref_Assumptions!$C$3,Ref_Assumptions!$C$4)</f>
        <v/>
      </c>
      <c r="U70" s="4">
        <f>(F70*S70+D70*T70)*3.6</f>
        <v/>
      </c>
      <c r="V70" s="7">
        <f>Ref_Assumptions!$C$5</f>
        <v/>
      </c>
      <c r="W70" s="2" t="n">
        <v>0</v>
      </c>
      <c r="X70" s="2" t="n">
        <v>0</v>
      </c>
      <c r="Y70" s="2" t="inlineStr">
        <is>
          <t>22 / 18</t>
        </is>
      </c>
      <c r="Z70" s="2" t="n">
        <v>22</v>
      </c>
    </row>
    <row r="71" ht="23.25" customHeight="1">
      <c r="A71" s="2" t="inlineStr">
        <is>
          <t>B10</t>
        </is>
      </c>
      <c r="B71" s="2" t="inlineStr">
        <is>
          <t>zone04</t>
        </is>
      </c>
      <c r="C71" s="2" t="inlineStr">
        <is>
          <t>Unconditioned (stairs, shafts, storage, parking)</t>
        </is>
      </c>
      <c r="D71" s="2" t="n">
        <v>74.92</v>
      </c>
      <c r="E71" s="2" t="n">
        <v>0</v>
      </c>
      <c r="F71" s="19">
        <f>D71*E71</f>
        <v/>
      </c>
      <c r="G71" s="2" t="inlineStr">
        <is>
          <t>OccSch_Unoccupied</t>
        </is>
      </c>
      <c r="H71" s="2" t="n">
        <v>6</v>
      </c>
      <c r="I71" s="2" t="inlineStr">
        <is>
          <t>LghSch_Unoccupied</t>
        </is>
      </c>
      <c r="J71" s="2" t="n">
        <v>2</v>
      </c>
      <c r="K71" s="2" t="inlineStr">
        <is>
          <t>EqpSch_Costant</t>
        </is>
      </c>
      <c r="L71" s="7">
        <f>IF(R71="Yes",Ref_Assumptions!$C$8,"–")</f>
        <v/>
      </c>
      <c r="M71" s="7">
        <f>IF(R71="Yes",Ref_Assumptions!$C$9,"–")</f>
        <v/>
      </c>
      <c r="N71" s="7">
        <f>IF(R71="Yes",Ref_Assumptions!$C$10,"–")</f>
        <v/>
      </c>
      <c r="O71" s="2" t="n">
        <v>70</v>
      </c>
      <c r="P71" s="2" t="n">
        <v>40</v>
      </c>
      <c r="Q71" s="2" t="inlineStr">
        <is>
          <t>Off (AlwaysOff)</t>
        </is>
      </c>
      <c r="R71" s="2" t="inlineStr">
        <is>
          <t>No</t>
        </is>
      </c>
      <c r="S71" s="7">
        <f>IF(R71="Yes",Ref_Assumptions!$C$2,Ref_Assumptions!$C$4)</f>
        <v/>
      </c>
      <c r="T71" s="7">
        <f>IF(R71="Yes",Ref_Assumptions!$C$3,Ref_Assumptions!$C$4)</f>
        <v/>
      </c>
      <c r="U71" s="4">
        <f>(F71*S71+D71*T71)*3.6</f>
        <v/>
      </c>
      <c r="V71" s="7">
        <f>Ref_Assumptions!$C$5</f>
        <v/>
      </c>
      <c r="W71" s="2" t="n">
        <v>0</v>
      </c>
      <c r="X71" s="2" t="n">
        <v>0</v>
      </c>
      <c r="Y71" s="2" t="inlineStr">
        <is>
          <t>22 / 18</t>
        </is>
      </c>
      <c r="Z71" s="2" t="n">
        <v>22</v>
      </c>
    </row>
    <row r="72" ht="23.25" customHeight="1">
      <c r="A72" s="2" t="inlineStr">
        <is>
          <t>B10</t>
        </is>
      </c>
      <c r="B72" s="2" t="inlineStr">
        <is>
          <t>zone05</t>
        </is>
      </c>
      <c r="C72" s="2" t="inlineStr">
        <is>
          <t>Conditioned service / circulation</t>
        </is>
      </c>
      <c r="D72" s="2" t="n">
        <v>38.03</v>
      </c>
      <c r="E72" s="2" t="n">
        <v>0</v>
      </c>
      <c r="F72" s="19">
        <f>D72*E72</f>
        <v/>
      </c>
      <c r="G72" s="2" t="inlineStr">
        <is>
          <t>OccSch_Unoccupied</t>
        </is>
      </c>
      <c r="H72" s="2" t="n">
        <v>6</v>
      </c>
      <c r="I72" s="2" t="inlineStr">
        <is>
          <t>AlwaysOff</t>
        </is>
      </c>
      <c r="J72" s="2" t="n">
        <v>0</v>
      </c>
      <c r="K72" s="2" t="inlineStr">
        <is>
          <t>AlwaysOff</t>
        </is>
      </c>
      <c r="L72" s="7">
        <f>IF(R72="Yes",Ref_Assumptions!$C$8,"–")</f>
        <v/>
      </c>
      <c r="M72" s="7">
        <f>IF(R72="Yes",Ref_Assumptions!$C$9,"–")</f>
        <v/>
      </c>
      <c r="N72" s="7">
        <f>IF(R72="Yes",Ref_Assumptions!$C$10,"–")</f>
        <v/>
      </c>
      <c r="O72" s="2" t="n">
        <v>70</v>
      </c>
      <c r="P72" s="2" t="n">
        <v>40</v>
      </c>
      <c r="Q72" s="2" t="inlineStr">
        <is>
          <t>Always on (calibrated AHU schedules = 1)</t>
        </is>
      </c>
      <c r="R72" s="2" t="inlineStr">
        <is>
          <t>Yes</t>
        </is>
      </c>
      <c r="S72" s="7">
        <f>IF(R72="Yes",Ref_Assumptions!$C$2,Ref_Assumptions!$C$4)</f>
        <v/>
      </c>
      <c r="T72" s="7">
        <f>IF(R72="Yes",Ref_Assumptions!$C$3,Ref_Assumptions!$C$4)</f>
        <v/>
      </c>
      <c r="U72" s="4">
        <f>(F72*S72+D72*T72)*3.6</f>
        <v/>
      </c>
      <c r="V72" s="7">
        <f>Ref_Assumptions!$C$5</f>
        <v/>
      </c>
      <c r="W72" s="2" t="n">
        <v>0</v>
      </c>
      <c r="X72" s="2" t="n">
        <v>1</v>
      </c>
      <c r="Y72" s="2" t="inlineStr">
        <is>
          <t>22 / 18</t>
        </is>
      </c>
      <c r="Z72" s="2" t="n">
        <v>22</v>
      </c>
    </row>
    <row r="73" ht="23.25" customHeight="1">
      <c r="A73" s="2" t="inlineStr">
        <is>
          <t>B10</t>
        </is>
      </c>
      <c r="B73" s="2" t="inlineStr">
        <is>
          <t>zone06</t>
        </is>
      </c>
      <c r="C73" s="2" t="inlineStr">
        <is>
          <t>Unconditioned (stairs, shafts, storage, parking)</t>
        </is>
      </c>
      <c r="D73" s="2" t="n">
        <v>8.58</v>
      </c>
      <c r="E73" s="2" t="n">
        <v>0</v>
      </c>
      <c r="F73" s="19">
        <f>D73*E73</f>
        <v/>
      </c>
      <c r="G73" s="2" t="inlineStr">
        <is>
          <t>OccSch_A0.1/A0.2</t>
        </is>
      </c>
      <c r="H73" s="2" t="n">
        <v>6</v>
      </c>
      <c r="I73" s="2" t="inlineStr">
        <is>
          <t>LghSch_Costant</t>
        </is>
      </c>
      <c r="J73" s="2" t="n">
        <v>2</v>
      </c>
      <c r="K73" s="2" t="inlineStr">
        <is>
          <t>EqpSch_Costant</t>
        </is>
      </c>
      <c r="L73" s="7">
        <f>IF(R73="Yes",Ref_Assumptions!$C$8,"–")</f>
        <v/>
      </c>
      <c r="M73" s="7">
        <f>IF(R73="Yes",Ref_Assumptions!$C$9,"–")</f>
        <v/>
      </c>
      <c r="N73" s="7">
        <f>IF(R73="Yes",Ref_Assumptions!$C$10,"–")</f>
        <v/>
      </c>
      <c r="O73" s="2" t="n">
        <v>100</v>
      </c>
      <c r="P73" s="2" t="n">
        <v>0</v>
      </c>
      <c r="Q73" s="2" t="inlineStr">
        <is>
          <t>Off (AlwaysOff)</t>
        </is>
      </c>
      <c r="R73" s="2" t="inlineStr">
        <is>
          <t>No</t>
        </is>
      </c>
      <c r="S73" s="7">
        <f>IF(R73="Yes",Ref_Assumptions!$C$2,Ref_Assumptions!$C$4)</f>
        <v/>
      </c>
      <c r="T73" s="7">
        <f>IF(R73="Yes",Ref_Assumptions!$C$3,Ref_Assumptions!$C$4)</f>
        <v/>
      </c>
      <c r="U73" s="4">
        <f>(F73*S73+D73*T73)*3.6</f>
        <v/>
      </c>
      <c r="V73" s="7">
        <f>Ref_Assumptions!$C$5</f>
        <v/>
      </c>
      <c r="W73" s="2" t="n">
        <v>0</v>
      </c>
      <c r="X73" s="2" t="n">
        <v>0</v>
      </c>
      <c r="Y73" s="2" t="inlineStr">
        <is>
          <t>22 / 18</t>
        </is>
      </c>
      <c r="Z73" s="2" t="n">
        <v>22</v>
      </c>
    </row>
    <row r="74" ht="23.25" customHeight="1">
      <c r="A74" s="2" t="inlineStr">
        <is>
          <t>B10</t>
        </is>
      </c>
      <c r="B74" s="2" t="inlineStr">
        <is>
          <t>zone07</t>
        </is>
      </c>
      <c r="C74" s="2" t="inlineStr">
        <is>
          <t>Unconditioned (stairs, shafts, storage, parking)</t>
        </is>
      </c>
      <c r="D74" s="2" t="n">
        <v>64.2</v>
      </c>
      <c r="E74" s="2" t="n">
        <v>0</v>
      </c>
      <c r="F74" s="19">
        <f>D74*E74</f>
        <v/>
      </c>
      <c r="G74" s="2" t="inlineStr">
        <is>
          <t>OccSch_Unoccupied</t>
        </is>
      </c>
      <c r="H74" s="2" t="n">
        <v>6</v>
      </c>
      <c r="I74" s="2" t="inlineStr">
        <is>
          <t>AlwaysOff</t>
        </is>
      </c>
      <c r="J74" s="2" t="n">
        <v>0</v>
      </c>
      <c r="K74" s="2" t="inlineStr">
        <is>
          <t>AlwaysOff</t>
        </is>
      </c>
      <c r="L74" s="7">
        <f>IF(R74="Yes",Ref_Assumptions!$C$8,"–")</f>
        <v/>
      </c>
      <c r="M74" s="7">
        <f>IF(R74="Yes",Ref_Assumptions!$C$9,"–")</f>
        <v/>
      </c>
      <c r="N74" s="7">
        <f>IF(R74="Yes",Ref_Assumptions!$C$10,"–")</f>
        <v/>
      </c>
      <c r="O74" s="2" t="n">
        <v>70</v>
      </c>
      <c r="P74" s="2" t="n">
        <v>40</v>
      </c>
      <c r="Q74" s="2" t="inlineStr">
        <is>
          <t>Off (AlwaysOff)</t>
        </is>
      </c>
      <c r="R74" s="2" t="inlineStr">
        <is>
          <t>No</t>
        </is>
      </c>
      <c r="S74" s="7">
        <f>IF(R74="Yes",Ref_Assumptions!$C$2,Ref_Assumptions!$C$4)</f>
        <v/>
      </c>
      <c r="T74" s="7">
        <f>IF(R74="Yes",Ref_Assumptions!$C$3,Ref_Assumptions!$C$4)</f>
        <v/>
      </c>
      <c r="U74" s="4">
        <f>(F74*S74+D74*T74)*3.6</f>
        <v/>
      </c>
      <c r="V74" s="7">
        <f>Ref_Assumptions!$C$5</f>
        <v/>
      </c>
      <c r="W74" s="2" t="n">
        <v>0</v>
      </c>
      <c r="X74" s="2" t="n">
        <v>0</v>
      </c>
      <c r="Y74" s="2" t="inlineStr">
        <is>
          <t>22 / 18</t>
        </is>
      </c>
      <c r="Z74" s="2" t="n">
        <v>22</v>
      </c>
    </row>
    <row r="75" ht="23.25" customHeight="1">
      <c r="A75" s="2" t="inlineStr">
        <is>
          <t>B10</t>
        </is>
      </c>
      <c r="B75" s="2" t="inlineStr">
        <is>
          <t>zone08</t>
        </is>
      </c>
      <c r="C75" s="2" t="inlineStr">
        <is>
          <t>Conditioned service / circulation</t>
        </is>
      </c>
      <c r="D75" s="2" t="n">
        <v>537.39</v>
      </c>
      <c r="E75" s="2" t="n">
        <v>0</v>
      </c>
      <c r="F75" s="19">
        <f>D75*E75</f>
        <v/>
      </c>
      <c r="G75" s="2" t="inlineStr">
        <is>
          <t>OccSch_Unoccupied</t>
        </is>
      </c>
      <c r="H75" s="2" t="n">
        <v>6</v>
      </c>
      <c r="I75" s="2" t="inlineStr">
        <is>
          <t>LghSch_Unoccupied</t>
        </is>
      </c>
      <c r="J75" s="2" t="n">
        <v>0</v>
      </c>
      <c r="K75" s="2" t="inlineStr">
        <is>
          <t>EqpSch_Unoccupied</t>
        </is>
      </c>
      <c r="L75" s="7">
        <f>IF(R75="Yes",Ref_Assumptions!$C$8,"–")</f>
        <v/>
      </c>
      <c r="M75" s="7">
        <f>IF(R75="Yes",Ref_Assumptions!$C$9,"–")</f>
        <v/>
      </c>
      <c r="N75" s="7">
        <f>IF(R75="Yes",Ref_Assumptions!$C$10,"–")</f>
        <v/>
      </c>
      <c r="O75" s="2" t="n">
        <v>70</v>
      </c>
      <c r="P75" s="2" t="n">
        <v>40</v>
      </c>
      <c r="Q75" s="2" t="inlineStr">
        <is>
          <t>Always on (calibrated AHU schedules = 1)</t>
        </is>
      </c>
      <c r="R75" s="2" t="inlineStr">
        <is>
          <t>Yes</t>
        </is>
      </c>
      <c r="S75" s="7">
        <f>IF(R75="Yes",Ref_Assumptions!$C$2,Ref_Assumptions!$C$4)</f>
        <v/>
      </c>
      <c r="T75" s="7">
        <f>IF(R75="Yes",Ref_Assumptions!$C$3,Ref_Assumptions!$C$4)</f>
        <v/>
      </c>
      <c r="U75" s="4">
        <f>(F75*S75+D75*T75)*3.6</f>
        <v/>
      </c>
      <c r="V75" s="7">
        <f>Ref_Assumptions!$C$5</f>
        <v/>
      </c>
      <c r="W75" s="2" t="n">
        <v>0</v>
      </c>
      <c r="X75" s="2" t="n">
        <v>1</v>
      </c>
      <c r="Y75" s="2" t="inlineStr">
        <is>
          <t>22 / 18</t>
        </is>
      </c>
      <c r="Z75" s="2" t="n">
        <v>22</v>
      </c>
    </row>
    <row r="76" ht="23.25" customHeight="1">
      <c r="A76" s="2" t="inlineStr">
        <is>
          <t>B10</t>
        </is>
      </c>
      <c r="B76" s="2" t="inlineStr">
        <is>
          <t>zone09</t>
        </is>
      </c>
      <c r="C76" s="2" t="inlineStr">
        <is>
          <t>Conditioned service / circulation</t>
        </is>
      </c>
      <c r="D76" s="2" t="n">
        <v>66.06999999999999</v>
      </c>
      <c r="E76" s="2" t="n">
        <v>0</v>
      </c>
      <c r="F76" s="19">
        <f>D76*E76</f>
        <v/>
      </c>
      <c r="G76" s="2" t="inlineStr">
        <is>
          <t>OccSch_Unoccupied</t>
        </is>
      </c>
      <c r="H76" s="2" t="n">
        <v>6</v>
      </c>
      <c r="I76" s="2" t="inlineStr">
        <is>
          <t>LghSch_Costant</t>
        </is>
      </c>
      <c r="J76" s="2" t="n">
        <v>0</v>
      </c>
      <c r="K76" s="2" t="inlineStr">
        <is>
          <t>EqpSch_Unoccupied</t>
        </is>
      </c>
      <c r="L76" s="7">
        <f>IF(R76="Yes",Ref_Assumptions!$C$8,"–")</f>
        <v/>
      </c>
      <c r="M76" s="7">
        <f>IF(R76="Yes",Ref_Assumptions!$C$9,"–")</f>
        <v/>
      </c>
      <c r="N76" s="7">
        <f>IF(R76="Yes",Ref_Assumptions!$C$10,"–")</f>
        <v/>
      </c>
      <c r="O76" s="2" t="n">
        <v>70</v>
      </c>
      <c r="P76" s="2" t="n">
        <v>40</v>
      </c>
      <c r="Q76" s="2" t="inlineStr">
        <is>
          <t>Always on (calibrated AHU schedules = 1)</t>
        </is>
      </c>
      <c r="R76" s="2" t="inlineStr">
        <is>
          <t>Yes</t>
        </is>
      </c>
      <c r="S76" s="7">
        <f>IF(R76="Yes",Ref_Assumptions!$C$2,Ref_Assumptions!$C$4)</f>
        <v/>
      </c>
      <c r="T76" s="7">
        <f>IF(R76="Yes",Ref_Assumptions!$C$3,Ref_Assumptions!$C$4)</f>
        <v/>
      </c>
      <c r="U76" s="4">
        <f>(F76*S76+D76*T76)*3.6</f>
        <v/>
      </c>
      <c r="V76" s="7">
        <f>Ref_Assumptions!$C$5</f>
        <v/>
      </c>
      <c r="W76" s="2" t="n">
        <v>0</v>
      </c>
      <c r="X76" s="2" t="n">
        <v>8</v>
      </c>
      <c r="Y76" s="2" t="inlineStr">
        <is>
          <t>22 / 18</t>
        </is>
      </c>
      <c r="Z76" s="2" t="n">
        <v>22</v>
      </c>
    </row>
    <row r="77" ht="23.25" customHeight="1">
      <c r="A77" s="2" t="inlineStr">
        <is>
          <t>B10</t>
        </is>
      </c>
      <c r="B77" s="2" t="inlineStr">
        <is>
          <t>zone10</t>
        </is>
      </c>
      <c r="C77" s="2" t="inlineStr">
        <is>
          <t>Unconditioned (stairs, shafts, storage, parking)</t>
        </is>
      </c>
      <c r="D77" s="2" t="n">
        <v>20.66</v>
      </c>
      <c r="E77" s="2" t="n">
        <v>0</v>
      </c>
      <c r="F77" s="19">
        <f>D77*E77</f>
        <v/>
      </c>
      <c r="G77" s="2" t="inlineStr">
        <is>
          <t>OccSch_Unoccupied</t>
        </is>
      </c>
      <c r="H77" s="2" t="n">
        <v>6</v>
      </c>
      <c r="I77" s="2" t="inlineStr">
        <is>
          <t>AlwaysOff</t>
        </is>
      </c>
      <c r="J77" s="2" t="n">
        <v>0</v>
      </c>
      <c r="K77" s="2" t="inlineStr">
        <is>
          <t>AlwaysOff</t>
        </is>
      </c>
      <c r="L77" s="7">
        <f>IF(R77="Yes",Ref_Assumptions!$C$8,"–")</f>
        <v/>
      </c>
      <c r="M77" s="7">
        <f>IF(R77="Yes",Ref_Assumptions!$C$9,"–")</f>
        <v/>
      </c>
      <c r="N77" s="7">
        <f>IF(R77="Yes",Ref_Assumptions!$C$10,"–")</f>
        <v/>
      </c>
      <c r="O77" s="2" t="n">
        <v>70</v>
      </c>
      <c r="P77" s="2" t="n">
        <v>40</v>
      </c>
      <c r="Q77" s="2" t="inlineStr">
        <is>
          <t>Off (AlwaysOff)</t>
        </is>
      </c>
      <c r="R77" s="2" t="inlineStr">
        <is>
          <t>No</t>
        </is>
      </c>
      <c r="S77" s="7">
        <f>IF(R77="Yes",Ref_Assumptions!$C$2,Ref_Assumptions!$C$4)</f>
        <v/>
      </c>
      <c r="T77" s="7">
        <f>IF(R77="Yes",Ref_Assumptions!$C$3,Ref_Assumptions!$C$4)</f>
        <v/>
      </c>
      <c r="U77" s="4">
        <f>(F77*S77+D77*T77)*3.6</f>
        <v/>
      </c>
      <c r="V77" s="7">
        <f>Ref_Assumptions!$C$5</f>
        <v/>
      </c>
      <c r="W77" s="2" t="n">
        <v>0</v>
      </c>
      <c r="X77" s="2" t="n">
        <v>1</v>
      </c>
      <c r="Y77" s="2" t="inlineStr">
        <is>
          <t>22 / 18</t>
        </is>
      </c>
      <c r="Z77" s="2" t="n">
        <v>22</v>
      </c>
    </row>
    <row r="78" ht="23.25" customHeight="1">
      <c r="A78" s="2" t="inlineStr">
        <is>
          <t>B10</t>
        </is>
      </c>
      <c r="B78" s="2" t="inlineStr">
        <is>
          <t>zone11</t>
        </is>
      </c>
      <c r="C78" s="2" t="inlineStr">
        <is>
          <t>Unconditioned (stairs, shafts, storage, parking)</t>
        </is>
      </c>
      <c r="D78" s="2" t="n">
        <v>287.55</v>
      </c>
      <c r="E78" s="2" t="n">
        <v>0</v>
      </c>
      <c r="F78" s="19">
        <f>D78*E78</f>
        <v/>
      </c>
      <c r="G78" s="2" t="inlineStr">
        <is>
          <t>OccSch_Unoccupied</t>
        </is>
      </c>
      <c r="H78" s="2" t="n">
        <v>6</v>
      </c>
      <c r="I78" s="2" t="inlineStr">
        <is>
          <t>AlwaysOff</t>
        </is>
      </c>
      <c r="J78" s="2" t="n">
        <v>0</v>
      </c>
      <c r="K78" s="2" t="inlineStr">
        <is>
          <t>AlwaysOff</t>
        </is>
      </c>
      <c r="L78" s="7">
        <f>IF(R78="Yes",Ref_Assumptions!$C$8,"–")</f>
        <v/>
      </c>
      <c r="M78" s="7">
        <f>IF(R78="Yes",Ref_Assumptions!$C$9,"–")</f>
        <v/>
      </c>
      <c r="N78" s="7">
        <f>IF(R78="Yes",Ref_Assumptions!$C$10,"–")</f>
        <v/>
      </c>
      <c r="O78" s="2" t="n">
        <v>70</v>
      </c>
      <c r="P78" s="2" t="n">
        <v>40</v>
      </c>
      <c r="Q78" s="2" t="inlineStr">
        <is>
          <t>Off (AlwaysOff)</t>
        </is>
      </c>
      <c r="R78" s="2" t="inlineStr">
        <is>
          <t>No</t>
        </is>
      </c>
      <c r="S78" s="7">
        <f>IF(R78="Yes",Ref_Assumptions!$C$2,Ref_Assumptions!$C$4)</f>
        <v/>
      </c>
      <c r="T78" s="7">
        <f>IF(R78="Yes",Ref_Assumptions!$C$3,Ref_Assumptions!$C$4)</f>
        <v/>
      </c>
      <c r="U78" s="4">
        <f>(F78*S78+D78*T78)*3.6</f>
        <v/>
      </c>
      <c r="V78" s="7">
        <f>Ref_Assumptions!$C$5</f>
        <v/>
      </c>
      <c r="W78" s="2" t="n">
        <v>0</v>
      </c>
      <c r="X78" s="2" t="n">
        <v>0</v>
      </c>
      <c r="Y78" s="2" t="inlineStr">
        <is>
          <t>22 / 18</t>
        </is>
      </c>
      <c r="Z78" s="2" t="n">
        <v>22</v>
      </c>
    </row>
    <row r="79" ht="23.25" customHeight="1">
      <c r="A79" s="2" t="inlineStr">
        <is>
          <t>B10</t>
        </is>
      </c>
      <c r="B79" s="2" t="inlineStr">
        <is>
          <t>zone12</t>
        </is>
      </c>
      <c r="C79" s="2" t="inlineStr">
        <is>
          <t>Snack bar</t>
        </is>
      </c>
      <c r="D79" s="2" t="n">
        <v>282.3</v>
      </c>
      <c r="E79" s="2" t="n">
        <v>0.8</v>
      </c>
      <c r="F79" s="19">
        <f>D79*E79</f>
        <v/>
      </c>
      <c r="G79" s="2" t="inlineStr">
        <is>
          <t>OccSch_Unoccupied</t>
        </is>
      </c>
      <c r="H79" s="2" t="n">
        <v>6</v>
      </c>
      <c r="I79" s="2" t="inlineStr">
        <is>
          <t>LghSch_Costant</t>
        </is>
      </c>
      <c r="J79" s="2" t="n">
        <v>0</v>
      </c>
      <c r="K79" s="2" t="inlineStr">
        <is>
          <t>EqpSch_Unoccupied</t>
        </is>
      </c>
      <c r="L79" s="7">
        <f>IF(R79="Yes",Ref_Assumptions!$C$8,"–")</f>
        <v/>
      </c>
      <c r="M79" s="7">
        <f>IF(R79="Yes",Ref_Assumptions!$C$9,"–")</f>
        <v/>
      </c>
      <c r="N79" s="7">
        <f>IF(R79="Yes",Ref_Assumptions!$C$10,"–")</f>
        <v/>
      </c>
      <c r="O79" s="2" t="n">
        <v>70</v>
      </c>
      <c r="P79" s="2" t="n">
        <v>40</v>
      </c>
      <c r="Q79" s="2" t="inlineStr">
        <is>
          <t>Always on (calibrated AHU schedules = 1)</t>
        </is>
      </c>
      <c r="R79" s="2" t="inlineStr">
        <is>
          <t>Yes</t>
        </is>
      </c>
      <c r="S79" s="7">
        <f>IF(R79="Yes",Ref_Assumptions!$C$2,Ref_Assumptions!$C$4)</f>
        <v/>
      </c>
      <c r="T79" s="7">
        <f>IF(R79="Yes",Ref_Assumptions!$C$3,Ref_Assumptions!$C$4)</f>
        <v/>
      </c>
      <c r="U79" s="4">
        <f>(F79*S79+D79*T79)*3.6</f>
        <v/>
      </c>
      <c r="V79" s="7">
        <f>Ref_Assumptions!$C$5</f>
        <v/>
      </c>
      <c r="W79" s="2" t="n">
        <v>7</v>
      </c>
      <c r="X79" s="2" t="n">
        <v>4.81128</v>
      </c>
      <c r="Y79" s="2" t="inlineStr">
        <is>
          <t>22 / 18</t>
        </is>
      </c>
      <c r="Z79" s="2" t="n">
        <v>22</v>
      </c>
    </row>
    <row r="80" ht="23.25" customHeight="1">
      <c r="A80" s="2" t="inlineStr">
        <is>
          <t>B10</t>
        </is>
      </c>
      <c r="B80" s="2" t="inlineStr">
        <is>
          <t>zone13</t>
        </is>
      </c>
      <c r="C80" s="2" t="inlineStr">
        <is>
          <t>Conditioned service / circulation</t>
        </is>
      </c>
      <c r="D80" s="2" t="n">
        <v>10.17</v>
      </c>
      <c r="E80" s="2" t="n">
        <v>0</v>
      </c>
      <c r="F80" s="19">
        <f>D80*E80</f>
        <v/>
      </c>
      <c r="G80" s="2" t="inlineStr">
        <is>
          <t>OccSch_Unoccupied</t>
        </is>
      </c>
      <c r="H80" s="2" t="n">
        <v>6</v>
      </c>
      <c r="I80" s="2" t="inlineStr">
        <is>
          <t>LghSch_Unoccupied</t>
        </is>
      </c>
      <c r="J80" s="2" t="n">
        <v>0</v>
      </c>
      <c r="K80" s="2" t="inlineStr">
        <is>
          <t>EqpSch_Unoccupied</t>
        </is>
      </c>
      <c r="L80" s="7">
        <f>IF(R80="Yes",Ref_Assumptions!$C$8,"–")</f>
        <v/>
      </c>
      <c r="M80" s="7">
        <f>IF(R80="Yes",Ref_Assumptions!$C$9,"–")</f>
        <v/>
      </c>
      <c r="N80" s="7">
        <f>IF(R80="Yes",Ref_Assumptions!$C$10,"–")</f>
        <v/>
      </c>
      <c r="O80" s="2" t="n">
        <v>70</v>
      </c>
      <c r="P80" s="2" t="n">
        <v>40</v>
      </c>
      <c r="Q80" s="2" t="inlineStr">
        <is>
          <t>Always on (calibrated AHU schedules = 1)</t>
        </is>
      </c>
      <c r="R80" s="2" t="inlineStr">
        <is>
          <t>Yes</t>
        </is>
      </c>
      <c r="S80" s="7">
        <f>IF(R80="Yes",Ref_Assumptions!$C$2,Ref_Assumptions!$C$4)</f>
        <v/>
      </c>
      <c r="T80" s="7">
        <f>IF(R80="Yes",Ref_Assumptions!$C$3,Ref_Assumptions!$C$4)</f>
        <v/>
      </c>
      <c r="U80" s="4">
        <f>(F80*S80+D80*T80)*3.6</f>
        <v/>
      </c>
      <c r="V80" s="7">
        <f>Ref_Assumptions!$C$5</f>
        <v/>
      </c>
      <c r="W80" s="2" t="n">
        <v>0</v>
      </c>
      <c r="X80" s="2" t="n">
        <v>0</v>
      </c>
      <c r="Y80" s="2" t="inlineStr">
        <is>
          <t>22 / 18</t>
        </is>
      </c>
      <c r="Z80" s="2" t="n">
        <v>22</v>
      </c>
    </row>
    <row r="81" ht="23.25" customHeight="1">
      <c r="A81" s="2" t="inlineStr">
        <is>
          <t>B10</t>
        </is>
      </c>
      <c r="B81" s="2" t="inlineStr">
        <is>
          <t>zone14</t>
        </is>
      </c>
      <c r="C81" s="2" t="inlineStr">
        <is>
          <t>Research laboratory</t>
        </is>
      </c>
      <c r="D81" s="2" t="n">
        <v>65.63</v>
      </c>
      <c r="E81" s="2" t="n">
        <v>0.3</v>
      </c>
      <c r="F81" s="19">
        <f>D81*E81</f>
        <v/>
      </c>
      <c r="G81" s="2" t="inlineStr">
        <is>
          <t>OccSch_Unoccupied</t>
        </is>
      </c>
      <c r="H81" s="2" t="n">
        <v>6</v>
      </c>
      <c r="I81" s="2" t="inlineStr">
        <is>
          <t>LghSch_Unoccupied</t>
        </is>
      </c>
      <c r="J81" s="2" t="n">
        <v>0</v>
      </c>
      <c r="K81" s="2" t="inlineStr">
        <is>
          <t>EqpSch_Unoccupied</t>
        </is>
      </c>
      <c r="L81" s="7">
        <f>IF(R81="Yes",Ref_Assumptions!$C$8,"–")</f>
        <v/>
      </c>
      <c r="M81" s="7">
        <f>IF(R81="Yes",Ref_Assumptions!$C$9,"–")</f>
        <v/>
      </c>
      <c r="N81" s="7">
        <f>IF(R81="Yes",Ref_Assumptions!$C$10,"–")</f>
        <v/>
      </c>
      <c r="O81" s="2" t="n">
        <v>70</v>
      </c>
      <c r="P81" s="2" t="n">
        <v>40</v>
      </c>
      <c r="Q81" s="2" t="inlineStr">
        <is>
          <t>Always on (calibrated AHU schedules = 1)</t>
        </is>
      </c>
      <c r="R81" s="2" t="inlineStr">
        <is>
          <t>Yes</t>
        </is>
      </c>
      <c r="S81" s="7">
        <f>IF(R81="Yes",Ref_Assumptions!$C$2,Ref_Assumptions!$C$4)</f>
        <v/>
      </c>
      <c r="T81" s="7">
        <f>IF(R81="Yes",Ref_Assumptions!$C$3,Ref_Assumptions!$C$4)</f>
        <v/>
      </c>
      <c r="U81" s="4">
        <f>(F81*S81+D81*T81)*3.6</f>
        <v/>
      </c>
      <c r="V81" s="7">
        <f>Ref_Assumptions!$C$5</f>
        <v/>
      </c>
      <c r="W81" s="2" t="n">
        <v>7</v>
      </c>
      <c r="X81" s="2" t="n">
        <v>1.83147</v>
      </c>
      <c r="Y81" s="2" t="inlineStr">
        <is>
          <t>22 / 18</t>
        </is>
      </c>
      <c r="Z81" s="2" t="n">
        <v>22</v>
      </c>
    </row>
    <row r="82" ht="23.25" customHeight="1">
      <c r="A82" s="2" t="inlineStr">
        <is>
          <t>B10</t>
        </is>
      </c>
      <c r="B82" s="2" t="inlineStr">
        <is>
          <t>zone15</t>
        </is>
      </c>
      <c r="C82" s="2" t="inlineStr">
        <is>
          <t>Lecture hall / study room</t>
        </is>
      </c>
      <c r="D82" s="2" t="n">
        <v>321.56</v>
      </c>
      <c r="E82" s="2" t="n">
        <v>0.6</v>
      </c>
      <c r="F82" s="19">
        <f>D82*E82</f>
        <v/>
      </c>
      <c r="G82" s="2" t="inlineStr">
        <is>
          <t>OccSch_A1.2</t>
        </is>
      </c>
      <c r="H82" s="2" t="n">
        <v>6</v>
      </c>
      <c r="I82" s="2" t="inlineStr">
        <is>
          <t>LghSch_A1.2</t>
        </is>
      </c>
      <c r="J82" s="2" t="n">
        <v>10</v>
      </c>
      <c r="K82" s="2" t="inlineStr">
        <is>
          <t>EqpSch_A1.2</t>
        </is>
      </c>
      <c r="L82" s="7">
        <f>IF(R82="Yes",Ref_Assumptions!$C$8,"–")</f>
        <v/>
      </c>
      <c r="M82" s="7">
        <f>IF(R82="Yes",Ref_Assumptions!$C$9,"–")</f>
        <v/>
      </c>
      <c r="N82" s="7">
        <f>IF(R82="Yes",Ref_Assumptions!$C$10,"–")</f>
        <v/>
      </c>
      <c r="O82" s="2" t="n">
        <v>70</v>
      </c>
      <c r="P82" s="2" t="n">
        <v>40</v>
      </c>
      <c r="Q82" s="2" t="inlineStr">
        <is>
          <t>Always on (calibrated AHU schedules = 1)</t>
        </is>
      </c>
      <c r="R82" s="2" t="inlineStr">
        <is>
          <t>Yes</t>
        </is>
      </c>
      <c r="S82" s="7">
        <f>IF(R82="Yes",Ref_Assumptions!$C$2,Ref_Assumptions!$C$4)</f>
        <v/>
      </c>
      <c r="T82" s="7">
        <f>IF(R82="Yes",Ref_Assumptions!$C$3,Ref_Assumptions!$C$4)</f>
        <v/>
      </c>
      <c r="U82" s="4">
        <f>(F82*S82+D82*T82)*3.6</f>
        <v/>
      </c>
      <c r="V82" s="7">
        <f>Ref_Assumptions!$C$5</f>
        <v/>
      </c>
      <c r="W82" s="2" t="n">
        <v>7</v>
      </c>
      <c r="X82" s="2" t="n">
        <v>3.3027</v>
      </c>
      <c r="Y82" s="2" t="inlineStr">
        <is>
          <t>22 / 18</t>
        </is>
      </c>
      <c r="Z82" s="2" t="n">
        <v>22</v>
      </c>
    </row>
    <row r="83" ht="23.25" customHeight="1">
      <c r="A83" s="2" t="inlineStr">
        <is>
          <t>B10</t>
        </is>
      </c>
      <c r="B83" s="2" t="inlineStr">
        <is>
          <t>zone16</t>
        </is>
      </c>
      <c r="C83" s="2" t="inlineStr">
        <is>
          <t>Lecture hall / study room</t>
        </is>
      </c>
      <c r="D83" s="2" t="n">
        <v>217.82</v>
      </c>
      <c r="E83" s="2" t="n">
        <v>0.6</v>
      </c>
      <c r="F83" s="19">
        <f>D83*E83</f>
        <v/>
      </c>
      <c r="G83" s="2" t="inlineStr">
        <is>
          <t>OccSch_A1.1</t>
        </is>
      </c>
      <c r="H83" s="2" t="n">
        <v>6</v>
      </c>
      <c r="I83" s="2" t="inlineStr">
        <is>
          <t>LghSch_A1.1</t>
        </is>
      </c>
      <c r="J83" s="2" t="n">
        <v>10</v>
      </c>
      <c r="K83" s="2" t="inlineStr">
        <is>
          <t>EqpSch_A1.1</t>
        </is>
      </c>
      <c r="L83" s="7">
        <f>IF(R83="Yes",Ref_Assumptions!$C$8,"–")</f>
        <v/>
      </c>
      <c r="M83" s="7">
        <f>IF(R83="Yes",Ref_Assumptions!$C$9,"–")</f>
        <v/>
      </c>
      <c r="N83" s="7">
        <f>IF(R83="Yes",Ref_Assumptions!$C$10,"–")</f>
        <v/>
      </c>
      <c r="O83" s="2" t="n">
        <v>70</v>
      </c>
      <c r="P83" s="2" t="n">
        <v>40</v>
      </c>
      <c r="Q83" s="2" t="inlineStr">
        <is>
          <t>Always on (calibrated AHU schedules = 1)</t>
        </is>
      </c>
      <c r="R83" s="2" t="inlineStr">
        <is>
          <t>Yes</t>
        </is>
      </c>
      <c r="S83" s="7">
        <f>IF(R83="Yes",Ref_Assumptions!$C$2,Ref_Assumptions!$C$4)</f>
        <v/>
      </c>
      <c r="T83" s="7">
        <f>IF(R83="Yes",Ref_Assumptions!$C$3,Ref_Assumptions!$C$4)</f>
        <v/>
      </c>
      <c r="U83" s="4">
        <f>(F83*S83+D83*T83)*3.6</f>
        <v/>
      </c>
      <c r="V83" s="7">
        <f>Ref_Assumptions!$C$5</f>
        <v/>
      </c>
      <c r="W83" s="2" t="n">
        <v>7</v>
      </c>
      <c r="X83" s="2" t="n">
        <v>1.44286</v>
      </c>
      <c r="Y83" s="2" t="inlineStr">
        <is>
          <t>22 / 18</t>
        </is>
      </c>
      <c r="Z83" s="2" t="n">
        <v>22</v>
      </c>
    </row>
    <row r="84" ht="23.25" customHeight="1">
      <c r="A84" s="2" t="inlineStr">
        <is>
          <t>B10</t>
        </is>
      </c>
      <c r="B84" s="2" t="inlineStr">
        <is>
          <t>zone17</t>
        </is>
      </c>
      <c r="C84" s="2" t="inlineStr">
        <is>
          <t>Conditioned service / circulation</t>
        </is>
      </c>
      <c r="D84" s="2" t="n">
        <v>9.220000000000001</v>
      </c>
      <c r="E84" s="2" t="n">
        <v>0</v>
      </c>
      <c r="F84" s="19">
        <f>D84*E84</f>
        <v/>
      </c>
      <c r="G84" s="2" t="inlineStr">
        <is>
          <t>OccSch_Unoccupied</t>
        </is>
      </c>
      <c r="H84" s="2" t="n">
        <v>6</v>
      </c>
      <c r="I84" s="2" t="inlineStr">
        <is>
          <t>LghSch_Costant</t>
        </is>
      </c>
      <c r="J84" s="2" t="n">
        <v>2</v>
      </c>
      <c r="K84" s="2" t="inlineStr">
        <is>
          <t>EqpSch_Costant</t>
        </is>
      </c>
      <c r="L84" s="7">
        <f>IF(R84="Yes",Ref_Assumptions!$C$8,"–")</f>
        <v/>
      </c>
      <c r="M84" s="7">
        <f>IF(R84="Yes",Ref_Assumptions!$C$9,"–")</f>
        <v/>
      </c>
      <c r="N84" s="7">
        <f>IF(R84="Yes",Ref_Assumptions!$C$10,"–")</f>
        <v/>
      </c>
      <c r="O84" s="2" t="n">
        <v>70</v>
      </c>
      <c r="P84" s="2" t="n">
        <v>40</v>
      </c>
      <c r="Q84" s="2" t="inlineStr">
        <is>
          <t>Always on (calibrated AHU schedules = 1)</t>
        </is>
      </c>
      <c r="R84" s="2" t="inlineStr">
        <is>
          <t>Yes</t>
        </is>
      </c>
      <c r="S84" s="7">
        <f>IF(R84="Yes",Ref_Assumptions!$C$2,Ref_Assumptions!$C$4)</f>
        <v/>
      </c>
      <c r="T84" s="7">
        <f>IF(R84="Yes",Ref_Assumptions!$C$3,Ref_Assumptions!$C$4)</f>
        <v/>
      </c>
      <c r="U84" s="4">
        <f>(F84*S84+D84*T84)*3.6</f>
        <v/>
      </c>
      <c r="V84" s="7">
        <f>Ref_Assumptions!$C$5</f>
        <v/>
      </c>
      <c r="W84" s="2" t="n">
        <v>0</v>
      </c>
      <c r="X84" s="2" t="n">
        <v>0</v>
      </c>
      <c r="Y84" s="2" t="inlineStr">
        <is>
          <t>22 / 18</t>
        </is>
      </c>
      <c r="Z84" s="2" t="n">
        <v>22</v>
      </c>
    </row>
    <row r="85" ht="23.25" customHeight="1">
      <c r="A85" s="2" t="inlineStr">
        <is>
          <t>B10</t>
        </is>
      </c>
      <c r="B85" s="2" t="inlineStr">
        <is>
          <t>zone18</t>
        </is>
      </c>
      <c r="C85" s="2" t="inlineStr">
        <is>
          <t>Lecture hall / study room</t>
        </is>
      </c>
      <c r="D85" s="2" t="n">
        <v>394.18</v>
      </c>
      <c r="E85" s="2" t="n">
        <v>0.6</v>
      </c>
      <c r="F85" s="19">
        <f>D85*E85</f>
        <v/>
      </c>
      <c r="G85" s="2" t="inlineStr">
        <is>
          <t>OccSch_A1.3</t>
        </is>
      </c>
      <c r="H85" s="2" t="n">
        <v>6</v>
      </c>
      <c r="I85" s="2" t="inlineStr">
        <is>
          <t>LghSch_A1.3</t>
        </is>
      </c>
      <c r="J85" s="2" t="n">
        <v>10</v>
      </c>
      <c r="K85" s="2" t="inlineStr">
        <is>
          <t>EqpSch_A1.3</t>
        </is>
      </c>
      <c r="L85" s="7">
        <f>IF(R85="Yes",Ref_Assumptions!$C$8,"–")</f>
        <v/>
      </c>
      <c r="M85" s="7">
        <f>IF(R85="Yes",Ref_Assumptions!$C$9,"–")</f>
        <v/>
      </c>
      <c r="N85" s="7">
        <f>IF(R85="Yes",Ref_Assumptions!$C$10,"–")</f>
        <v/>
      </c>
      <c r="O85" s="2" t="n">
        <v>70</v>
      </c>
      <c r="P85" s="2" t="n">
        <v>40</v>
      </c>
      <c r="Q85" s="2" t="inlineStr">
        <is>
          <t>Always on (calibrated AHU schedules = 1)</t>
        </is>
      </c>
      <c r="R85" s="2" t="inlineStr">
        <is>
          <t>Yes</t>
        </is>
      </c>
      <c r="S85" s="7">
        <f>IF(R85="Yes",Ref_Assumptions!$C$2,Ref_Assumptions!$C$4)</f>
        <v/>
      </c>
      <c r="T85" s="7">
        <f>IF(R85="Yes",Ref_Assumptions!$C$3,Ref_Assumptions!$C$4)</f>
        <v/>
      </c>
      <c r="U85" s="4">
        <f>(F85*S85+D85*T85)*3.6</f>
        <v/>
      </c>
      <c r="V85" s="7">
        <f>Ref_Assumptions!$C$5</f>
        <v/>
      </c>
      <c r="W85" s="2" t="n">
        <v>7</v>
      </c>
      <c r="X85" s="2" t="n">
        <v>2.97108</v>
      </c>
      <c r="Y85" s="2" t="inlineStr">
        <is>
          <t>22 / 18</t>
        </is>
      </c>
      <c r="Z85" s="2" t="n">
        <v>22</v>
      </c>
    </row>
    <row r="86" ht="23.25" customHeight="1">
      <c r="A86" s="2" t="inlineStr">
        <is>
          <t>B10</t>
        </is>
      </c>
      <c r="B86" s="2" t="inlineStr">
        <is>
          <t>zone19</t>
        </is>
      </c>
      <c r="C86" s="2" t="inlineStr">
        <is>
          <t>Lecture hall / study room</t>
        </is>
      </c>
      <c r="D86" s="2" t="n">
        <v>539.86</v>
      </c>
      <c r="E86" s="2" t="n">
        <v>0.6</v>
      </c>
      <c r="F86" s="19">
        <f>D86*E86</f>
        <v/>
      </c>
      <c r="G86" s="2" t="inlineStr">
        <is>
          <t>OccSch_A0.1/A0.2</t>
        </is>
      </c>
      <c r="H86" s="2" t="n">
        <v>6</v>
      </c>
      <c r="I86" s="2" t="inlineStr">
        <is>
          <t>LghSch_A0.1/A0.2</t>
        </is>
      </c>
      <c r="J86" s="2" t="n">
        <v>10</v>
      </c>
      <c r="K86" s="2" t="inlineStr">
        <is>
          <t>EqpSch_A0.1/A0.2</t>
        </is>
      </c>
      <c r="L86" s="7">
        <f>IF(R86="Yes",Ref_Assumptions!$C$8,"–")</f>
        <v/>
      </c>
      <c r="M86" s="7">
        <f>IF(R86="Yes",Ref_Assumptions!$C$9,"–")</f>
        <v/>
      </c>
      <c r="N86" s="7">
        <f>IF(R86="Yes",Ref_Assumptions!$C$10,"–")</f>
        <v/>
      </c>
      <c r="O86" s="2" t="n">
        <v>70</v>
      </c>
      <c r="P86" s="2" t="n">
        <v>40</v>
      </c>
      <c r="Q86" s="2" t="inlineStr">
        <is>
          <t>Always on (calibrated AHU schedules = 1)</t>
        </is>
      </c>
      <c r="R86" s="2" t="inlineStr">
        <is>
          <t>Yes</t>
        </is>
      </c>
      <c r="S86" s="7">
        <f>IF(R86="Yes",Ref_Assumptions!$C$2,Ref_Assumptions!$C$4)</f>
        <v/>
      </c>
      <c r="T86" s="7">
        <f>IF(R86="Yes",Ref_Assumptions!$C$3,Ref_Assumptions!$C$4)</f>
        <v/>
      </c>
      <c r="U86" s="4">
        <f>(F86*S86+D86*T86)*3.6</f>
        <v/>
      </c>
      <c r="V86" s="7">
        <f>Ref_Assumptions!$C$5</f>
        <v/>
      </c>
      <c r="W86" s="2" t="n">
        <v>7</v>
      </c>
      <c r="X86" s="2" t="n">
        <v>1.56475</v>
      </c>
      <c r="Y86" s="2" t="inlineStr">
        <is>
          <t>22 / 18</t>
        </is>
      </c>
      <c r="Z86" s="2" t="n">
        <v>22</v>
      </c>
    </row>
  </sheetData>
  <autoFilter ref="A1:Z86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25"/>
  <cols>
    <col width="8" customWidth="1" min="1" max="1"/>
    <col width="30" customWidth="1" min="2" max="2"/>
    <col width="7" customWidth="1" min="3" max="3"/>
    <col width="40" customWidth="1" min="4" max="4"/>
    <col width="10" customWidth="1" min="5" max="7"/>
    <col width="24" customWidth="1" min="8" max="8"/>
    <col width="8" customWidth="1" min="9" max="9"/>
    <col width="24" customWidth="1" min="10" max="10"/>
    <col width="8" customWidth="1" min="11" max="11"/>
    <col width="24" customWidth="1" min="12" max="12"/>
    <col width="12" customWidth="1" min="13" max="13"/>
    <col width="9" customWidth="1" min="14" max="14"/>
    <col width="10" customWidth="1" min="15" max="15"/>
    <col width="9" customWidth="1" min="16" max="18"/>
    <col width="10" customWidth="1" min="19" max="19"/>
    <col width="9" customWidth="1" min="20" max="20"/>
  </cols>
  <sheetData>
    <row r="1" ht="52.5" customHeight="1">
      <c r="A1" s="1" t="inlineStr">
        <is>
          <t>Building</t>
        </is>
      </c>
      <c r="B1" s="1" t="inlineStr">
        <is>
          <t>Zone use</t>
        </is>
      </c>
      <c r="C1" s="1" t="inlineStr">
        <is>
          <t>N zones</t>
        </is>
      </c>
      <c r="D1" s="1" t="inlineStr">
        <is>
          <t>E+ zones</t>
        </is>
      </c>
      <c r="E1" s="1" t="inlineStr">
        <is>
          <t>Floor area (m²)</t>
        </is>
      </c>
      <c r="F1" s="1" t="inlineStr">
        <is>
          <t>Design occupants</t>
        </is>
      </c>
      <c r="G1" s="1" t="inlineStr">
        <is>
          <t>Occupancy density (person/m²)</t>
        </is>
      </c>
      <c r="H1" s="1" t="inlineStr">
        <is>
          <t>Occupancy schedule</t>
        </is>
      </c>
      <c r="I1" s="1" t="inlineStr">
        <is>
          <t>LPD (W/m²)</t>
        </is>
      </c>
      <c r="J1" s="1" t="inlineStr">
        <is>
          <t>Lighting schedule</t>
        </is>
      </c>
      <c r="K1" s="1" t="inlineStr">
        <is>
          <t>EPD (W/m²)</t>
        </is>
      </c>
      <c r="L1" s="1" t="inlineStr">
        <is>
          <t>Equipment schedule</t>
        </is>
      </c>
      <c r="M1" s="1" t="inlineStr">
        <is>
          <t>Heating SP occupied / setback (°C)</t>
        </is>
      </c>
      <c r="N1" s="1" t="inlineStr">
        <is>
          <t>Cooling SP (°C)</t>
        </is>
      </c>
      <c r="O1" s="1" t="inlineStr">
        <is>
          <t>RH max / min (%)</t>
        </is>
      </c>
      <c r="P1" s="1" t="inlineStr">
        <is>
          <t>Mech. ventilated</t>
        </is>
      </c>
      <c r="Q1" s="1" t="inlineStr">
        <is>
          <t>OA per person (L/s·p)</t>
        </is>
      </c>
      <c r="R1" s="1" t="inlineStr">
        <is>
          <t>OA per area (L/s·m²)</t>
        </is>
      </c>
      <c r="S1" s="1" t="inlineStr">
        <is>
          <t>Design OA (m³/h)</t>
        </is>
      </c>
      <c r="T1" s="1" t="inlineStr">
        <is>
          <t>Infiltration (h⁻¹)</t>
        </is>
      </c>
    </row>
    <row r="2" ht="23.25" customHeight="1">
      <c r="A2" s="2" t="inlineStr">
        <is>
          <t>B09</t>
        </is>
      </c>
      <c r="B2" s="2" t="inlineStr">
        <is>
          <t>Unconditioned (stairs, shafts, storage, parking) – cell not clustered</t>
        </is>
      </c>
      <c r="C2" s="2" t="n">
        <v>4</v>
      </c>
      <c r="D2" s="2" t="inlineStr">
        <is>
          <t>debugZone0, debugZone1, debugZone2, debugZone3</t>
        </is>
      </c>
      <c r="E2" s="20">
        <f>SUMPRODUCT(ISNUMBER(SEARCH(", "&amp;T7_Zones!$B$2:$B$86&amp;",",", "&amp;D2&amp;","))*(T7_Zones!$A$2:$A$86=A2)*T7_Zones!$D$2:$D$86)</f>
        <v/>
      </c>
      <c r="F2" s="9">
        <f>SUMPRODUCT(ISNUMBER(SEARCH(", "&amp;T7_Zones!$B$2:$B$86&amp;",",", "&amp;D2&amp;","))*(T7_Zones!$A$2:$A$86=A2)*T7_Zones!$F$2:$F$86)</f>
        <v/>
      </c>
      <c r="G2" s="2" t="n">
        <v>0</v>
      </c>
      <c r="H2" s="2" t="inlineStr">
        <is>
          <t>OccSch_Unoccupied</t>
        </is>
      </c>
      <c r="I2" s="2" t="n">
        <v>6</v>
      </c>
      <c r="J2" s="2" t="inlineStr">
        <is>
          <t>LghSch_Costant</t>
        </is>
      </c>
      <c r="K2" s="2" t="n">
        <v>2</v>
      </c>
      <c r="L2" s="2" t="inlineStr">
        <is>
          <t>EqpSch_Costant</t>
        </is>
      </c>
      <c r="M2" s="7">
        <f>IF(P2="Yes",Ref_Assumptions!$C$8&amp;" / "&amp;Ref_Assumptions!$C$9,"–")</f>
        <v/>
      </c>
      <c r="N2" s="7">
        <f>IF(P2="Yes",Ref_Assumptions!$C$10,"–")</f>
        <v/>
      </c>
      <c r="O2" s="2" t="inlineStr">
        <is>
          <t>70 / 40</t>
        </is>
      </c>
      <c r="P2" s="2" t="inlineStr">
        <is>
          <t>No</t>
        </is>
      </c>
      <c r="Q2" s="7">
        <f>IF(P2="Yes",Ref_Assumptions!$C$2,Ref_Assumptions!$C$4)</f>
        <v/>
      </c>
      <c r="R2" s="7">
        <f>IF(P2="Yes",Ref_Assumptions!$C$3,Ref_Assumptions!$C$4)</f>
        <v/>
      </c>
      <c r="S2" s="4">
        <f>SUMPRODUCT(ISNUMBER(SEARCH(", "&amp;T7_Zones!$B$2:$B$86&amp;",",", "&amp;D2&amp;","))*(T7_Zones!$A$2:$A$86=A2)*T7_Zones!$U$2:$U$86)</f>
        <v/>
      </c>
      <c r="T2" s="7">
        <f>Ref_Assumptions!$C$5</f>
        <v/>
      </c>
    </row>
    <row r="3" ht="34.9" customHeight="1">
      <c r="A3" s="2" t="inlineStr">
        <is>
          <t>B09</t>
        </is>
      </c>
      <c r="B3" s="2" t="inlineStr">
        <is>
          <t>Research laboratory – cell not clustered</t>
        </is>
      </c>
      <c r="C3" s="2" t="n">
        <v>7</v>
      </c>
      <c r="D3" s="2" t="inlineStr">
        <is>
          <t>debugZone10, debugZone4, debugZone5, debugZone6, debugZone7, debugZone8, debugZone9</t>
        </is>
      </c>
      <c r="E3" s="20">
        <f>SUMPRODUCT(ISNUMBER(SEARCH(", "&amp;T7_Zones!$B$2:$B$86&amp;",",", "&amp;D3&amp;","))*(T7_Zones!$A$2:$A$86=A3)*T7_Zones!$D$2:$D$86)</f>
        <v/>
      </c>
      <c r="F3" s="9">
        <f>SUMPRODUCT(ISNUMBER(SEARCH(", "&amp;T7_Zones!$B$2:$B$86&amp;",",", "&amp;D3&amp;","))*(T7_Zones!$A$2:$A$86=A3)*T7_Zones!$F$2:$F$86)</f>
        <v/>
      </c>
      <c r="G3" s="2" t="n">
        <v>0.3</v>
      </c>
      <c r="H3" s="2" t="inlineStr">
        <is>
          <t>OccSch_Unoccupied</t>
        </is>
      </c>
      <c r="I3" s="2" t="n">
        <v>6</v>
      </c>
      <c r="J3" s="2" t="inlineStr">
        <is>
          <t>LghSch_Costant</t>
        </is>
      </c>
      <c r="K3" s="2" t="n">
        <v>2</v>
      </c>
      <c r="L3" s="2" t="inlineStr">
        <is>
          <t>EqpSch_Costant</t>
        </is>
      </c>
      <c r="M3" s="7">
        <f>IF(P3="Yes",Ref_Assumptions!$C$8&amp;" / "&amp;Ref_Assumptions!$C$9,"–")</f>
        <v/>
      </c>
      <c r="N3" s="7">
        <f>IF(P3="Yes",Ref_Assumptions!$C$10,"–")</f>
        <v/>
      </c>
      <c r="O3" s="2" t="inlineStr">
        <is>
          <t>70 / 40</t>
        </is>
      </c>
      <c r="P3" s="2" t="inlineStr">
        <is>
          <t>Yes</t>
        </is>
      </c>
      <c r="Q3" s="7">
        <f>IF(P3="Yes",Ref_Assumptions!$C$2,Ref_Assumptions!$C$4)</f>
        <v/>
      </c>
      <c r="R3" s="7">
        <f>IF(P3="Yes",Ref_Assumptions!$C$3,Ref_Assumptions!$C$4)</f>
        <v/>
      </c>
      <c r="S3" s="4">
        <f>SUMPRODUCT(ISNUMBER(SEARCH(", "&amp;T7_Zones!$B$2:$B$86&amp;",",", "&amp;D3&amp;","))*(T7_Zones!$A$2:$A$86=A3)*T7_Zones!$U$2:$U$86)</f>
        <v/>
      </c>
      <c r="T3" s="7">
        <f>Ref_Assumptions!$C$5</f>
        <v/>
      </c>
    </row>
    <row r="4" ht="23.25" customHeight="1">
      <c r="A4" s="2" t="inlineStr">
        <is>
          <t>B09</t>
        </is>
      </c>
      <c r="B4" s="2" t="inlineStr">
        <is>
          <t>Conditioned service / circulation – cell not clustered</t>
        </is>
      </c>
      <c r="C4" s="2" t="n">
        <v>1</v>
      </c>
      <c r="D4" s="2" t="inlineStr">
        <is>
          <t>debugZone11</t>
        </is>
      </c>
      <c r="E4" s="20">
        <f>SUMPRODUCT(ISNUMBER(SEARCH(", "&amp;T7_Zones!$B$2:$B$86&amp;",",", "&amp;D4&amp;","))*(T7_Zones!$A$2:$A$86=A4)*T7_Zones!$D$2:$D$86)</f>
        <v/>
      </c>
      <c r="F4" s="9">
        <f>SUMPRODUCT(ISNUMBER(SEARCH(", "&amp;T7_Zones!$B$2:$B$86&amp;",",", "&amp;D4&amp;","))*(T7_Zones!$A$2:$A$86=A4)*T7_Zones!$F$2:$F$86)</f>
        <v/>
      </c>
      <c r="G4" s="2" t="n">
        <v>0</v>
      </c>
      <c r="H4" s="2" t="inlineStr">
        <is>
          <t>OccSch_Unoccupied</t>
        </is>
      </c>
      <c r="I4" s="2" t="n">
        <v>6</v>
      </c>
      <c r="J4" s="2" t="inlineStr">
        <is>
          <t>LghSch_Costant</t>
        </is>
      </c>
      <c r="K4" s="2" t="n">
        <v>2</v>
      </c>
      <c r="L4" s="2" t="inlineStr">
        <is>
          <t>EqpSch_Costant</t>
        </is>
      </c>
      <c r="M4" s="7">
        <f>IF(P4="Yes",Ref_Assumptions!$C$8&amp;" / "&amp;Ref_Assumptions!$C$9,"–")</f>
        <v/>
      </c>
      <c r="N4" s="7">
        <f>IF(P4="Yes",Ref_Assumptions!$C$10,"–")</f>
        <v/>
      </c>
      <c r="O4" s="2" t="inlineStr">
        <is>
          <t>70 / 40</t>
        </is>
      </c>
      <c r="P4" s="2" t="inlineStr">
        <is>
          <t>Yes</t>
        </is>
      </c>
      <c r="Q4" s="7">
        <f>IF(P4="Yes",Ref_Assumptions!$C$2,Ref_Assumptions!$C$4)</f>
        <v/>
      </c>
      <c r="R4" s="7">
        <f>IF(P4="Yes",Ref_Assumptions!$C$3,Ref_Assumptions!$C$4)</f>
        <v/>
      </c>
      <c r="S4" s="4">
        <f>SUMPRODUCT(ISNUMBER(SEARCH(", "&amp;T7_Zones!$B$2:$B$86&amp;",",", "&amp;D4&amp;","))*(T7_Zones!$A$2:$A$86=A4)*T7_Zones!$U$2:$U$86)</f>
        <v/>
      </c>
      <c r="T4" s="7">
        <f>Ref_Assumptions!$C$5</f>
        <v/>
      </c>
    </row>
    <row r="5" ht="23.25" customHeight="1">
      <c r="A5" s="2" t="inlineStr">
        <is>
          <t>B09</t>
        </is>
      </c>
      <c r="B5" s="2" t="inlineStr">
        <is>
          <t>Unconditioned (stairs, shafts, storage, parking)</t>
        </is>
      </c>
      <c r="C5" s="2" t="n">
        <v>1</v>
      </c>
      <c r="D5" s="2" t="inlineStr">
        <is>
          <t>zone00</t>
        </is>
      </c>
      <c r="E5" s="20">
        <f>SUMPRODUCT(ISNUMBER(SEARCH(", "&amp;T7_Zones!$B$2:$B$86&amp;",",", "&amp;D5&amp;","))*(T7_Zones!$A$2:$A$86=A5)*T7_Zones!$D$2:$D$86)</f>
        <v/>
      </c>
      <c r="F5" s="9">
        <f>SUMPRODUCT(ISNUMBER(SEARCH(", "&amp;T7_Zones!$B$2:$B$86&amp;",",", "&amp;D5&amp;","))*(T7_Zones!$A$2:$A$86=A5)*T7_Zones!$F$2:$F$86)</f>
        <v/>
      </c>
      <c r="G5" s="2" t="n">
        <v>0</v>
      </c>
      <c r="H5" s="2" t="inlineStr">
        <is>
          <t>OccSch_Unoccupied</t>
        </is>
      </c>
      <c r="I5" s="2" t="n">
        <v>0</v>
      </c>
      <c r="J5" s="2" t="inlineStr">
        <is>
          <t>LghSch_Unoccupied</t>
        </is>
      </c>
      <c r="K5" s="2" t="n">
        <v>0</v>
      </c>
      <c r="L5" s="2" t="inlineStr">
        <is>
          <t>EqpSch_Unoccupied</t>
        </is>
      </c>
      <c r="M5" s="7">
        <f>IF(P5="Yes",Ref_Assumptions!$C$8&amp;" / "&amp;Ref_Assumptions!$C$9,"–")</f>
        <v/>
      </c>
      <c r="N5" s="7">
        <f>IF(P5="Yes",Ref_Assumptions!$C$10,"–")</f>
        <v/>
      </c>
      <c r="O5" s="2" t="inlineStr">
        <is>
          <t>100 / 0</t>
        </is>
      </c>
      <c r="P5" s="2" t="inlineStr">
        <is>
          <t>No</t>
        </is>
      </c>
      <c r="Q5" s="7">
        <f>IF(P5="Yes",Ref_Assumptions!$C$2,Ref_Assumptions!$C$4)</f>
        <v/>
      </c>
      <c r="R5" s="7">
        <f>IF(P5="Yes",Ref_Assumptions!$C$3,Ref_Assumptions!$C$4)</f>
        <v/>
      </c>
      <c r="S5" s="4">
        <f>SUMPRODUCT(ISNUMBER(SEARCH(", "&amp;T7_Zones!$B$2:$B$86&amp;",",", "&amp;D5&amp;","))*(T7_Zones!$A$2:$A$86=A5)*T7_Zones!$U$2:$U$86)</f>
        <v/>
      </c>
      <c r="T5" s="7">
        <f>Ref_Assumptions!$C$5</f>
        <v/>
      </c>
    </row>
    <row r="6" ht="23.25" customHeight="1">
      <c r="A6" s="2" t="inlineStr">
        <is>
          <t>B09</t>
        </is>
      </c>
      <c r="B6" s="2" t="inlineStr">
        <is>
          <t>Unconditioned (stairs, shafts, storage, parking)</t>
        </is>
      </c>
      <c r="C6" s="2" t="n">
        <v>1</v>
      </c>
      <c r="D6" s="2" t="inlineStr">
        <is>
          <t>zone01</t>
        </is>
      </c>
      <c r="E6" s="20">
        <f>SUMPRODUCT(ISNUMBER(SEARCH(", "&amp;T7_Zones!$B$2:$B$86&amp;",",", "&amp;D6&amp;","))*(T7_Zones!$A$2:$A$86=A6)*T7_Zones!$D$2:$D$86)</f>
        <v/>
      </c>
      <c r="F6" s="9">
        <f>SUMPRODUCT(ISNUMBER(SEARCH(", "&amp;T7_Zones!$B$2:$B$86&amp;",",", "&amp;D6&amp;","))*(T7_Zones!$A$2:$A$86=A6)*T7_Zones!$F$2:$F$86)</f>
        <v/>
      </c>
      <c r="G6" s="2" t="n">
        <v>0</v>
      </c>
      <c r="H6" s="2" t="inlineStr">
        <is>
          <t>OccSch_Unoccupied</t>
        </is>
      </c>
      <c r="I6" s="2" t="n">
        <v>6</v>
      </c>
      <c r="J6" s="2" t="inlineStr">
        <is>
          <t>LghSch_Costant</t>
        </is>
      </c>
      <c r="K6" s="2" t="n">
        <v>2</v>
      </c>
      <c r="L6" s="2" t="inlineStr">
        <is>
          <t>EqpSch_Costant</t>
        </is>
      </c>
      <c r="M6" s="7">
        <f>IF(P6="Yes",Ref_Assumptions!$C$8&amp;" / "&amp;Ref_Assumptions!$C$9,"–")</f>
        <v/>
      </c>
      <c r="N6" s="7">
        <f>IF(P6="Yes",Ref_Assumptions!$C$10,"–")</f>
        <v/>
      </c>
      <c r="O6" s="2" t="inlineStr">
        <is>
          <t>70 / 40</t>
        </is>
      </c>
      <c r="P6" s="2" t="inlineStr">
        <is>
          <t>No</t>
        </is>
      </c>
      <c r="Q6" s="7">
        <f>IF(P6="Yes",Ref_Assumptions!$C$2,Ref_Assumptions!$C$4)</f>
        <v/>
      </c>
      <c r="R6" s="7">
        <f>IF(P6="Yes",Ref_Assumptions!$C$3,Ref_Assumptions!$C$4)</f>
        <v/>
      </c>
      <c r="S6" s="4">
        <f>SUMPRODUCT(ISNUMBER(SEARCH(", "&amp;T7_Zones!$B$2:$B$86&amp;",",", "&amp;D6&amp;","))*(T7_Zones!$A$2:$A$86=A6)*T7_Zones!$U$2:$U$86)</f>
        <v/>
      </c>
      <c r="T6" s="7">
        <f>Ref_Assumptions!$C$5</f>
        <v/>
      </c>
    </row>
    <row r="7">
      <c r="A7" s="2" t="inlineStr">
        <is>
          <t>B09</t>
        </is>
      </c>
      <c r="B7" s="2" t="inlineStr">
        <is>
          <t>Conditioned service / circulation</t>
        </is>
      </c>
      <c r="C7" s="2" t="n">
        <v>5</v>
      </c>
      <c r="D7" s="2" t="inlineStr">
        <is>
          <t>zone02, zone05, zone12-0, zone12-2, zone29</t>
        </is>
      </c>
      <c r="E7" s="20">
        <f>SUMPRODUCT(ISNUMBER(SEARCH(", "&amp;T7_Zones!$B$2:$B$86&amp;",",", "&amp;D7&amp;","))*(T7_Zones!$A$2:$A$86=A7)*T7_Zones!$D$2:$D$86)</f>
        <v/>
      </c>
      <c r="F7" s="9">
        <f>SUMPRODUCT(ISNUMBER(SEARCH(", "&amp;T7_Zones!$B$2:$B$86&amp;",",", "&amp;D7&amp;","))*(T7_Zones!$A$2:$A$86=A7)*T7_Zones!$F$2:$F$86)</f>
        <v/>
      </c>
      <c r="G7" s="2" t="n">
        <v>0</v>
      </c>
      <c r="H7" s="2" t="inlineStr">
        <is>
          <t>OccSch_Unoccupied</t>
        </is>
      </c>
      <c r="I7" s="2" t="n">
        <v>6</v>
      </c>
      <c r="J7" s="2" t="inlineStr">
        <is>
          <t>LghSch_Costant</t>
        </is>
      </c>
      <c r="K7" s="2" t="n">
        <v>2</v>
      </c>
      <c r="L7" s="2" t="inlineStr">
        <is>
          <t>EqpSch_Costant</t>
        </is>
      </c>
      <c r="M7" s="7">
        <f>IF(P7="Yes",Ref_Assumptions!$C$8&amp;" / "&amp;Ref_Assumptions!$C$9,"–")</f>
        <v/>
      </c>
      <c r="N7" s="7">
        <f>IF(P7="Yes",Ref_Assumptions!$C$10,"–")</f>
        <v/>
      </c>
      <c r="O7" s="2" t="inlineStr">
        <is>
          <t>70 / 40</t>
        </is>
      </c>
      <c r="P7" s="2" t="inlineStr">
        <is>
          <t>Yes</t>
        </is>
      </c>
      <c r="Q7" s="7">
        <f>IF(P7="Yes",Ref_Assumptions!$C$2,Ref_Assumptions!$C$4)</f>
        <v/>
      </c>
      <c r="R7" s="7">
        <f>IF(P7="Yes",Ref_Assumptions!$C$3,Ref_Assumptions!$C$4)</f>
        <v/>
      </c>
      <c r="S7" s="4">
        <f>SUMPRODUCT(ISNUMBER(SEARCH(", "&amp;T7_Zones!$B$2:$B$86&amp;",",", "&amp;D7&amp;","))*(T7_Zones!$A$2:$A$86=A7)*T7_Zones!$U$2:$U$86)</f>
        <v/>
      </c>
      <c r="T7" s="7">
        <f>Ref_Assumptions!$C$5</f>
        <v/>
      </c>
    </row>
    <row r="8" ht="23.25" customHeight="1">
      <c r="A8" s="2" t="inlineStr">
        <is>
          <t>B09</t>
        </is>
      </c>
      <c r="B8" s="2" t="inlineStr">
        <is>
          <t>Unconditioned (stairs, shafts, storage, parking)</t>
        </is>
      </c>
      <c r="C8" s="2" t="n">
        <v>6</v>
      </c>
      <c r="D8" s="2" t="inlineStr">
        <is>
          <t>zone03, zone04, zone10, zone12-1, zone13, zone14</t>
        </is>
      </c>
      <c r="E8" s="20">
        <f>SUMPRODUCT(ISNUMBER(SEARCH(", "&amp;T7_Zones!$B$2:$B$86&amp;",",", "&amp;D8&amp;","))*(T7_Zones!$A$2:$A$86=A8)*T7_Zones!$D$2:$D$86)</f>
        <v/>
      </c>
      <c r="F8" s="9">
        <f>SUMPRODUCT(ISNUMBER(SEARCH(", "&amp;T7_Zones!$B$2:$B$86&amp;",",", "&amp;D8&amp;","))*(T7_Zones!$A$2:$A$86=A8)*T7_Zones!$F$2:$F$86)</f>
        <v/>
      </c>
      <c r="G8" s="2" t="n">
        <v>0</v>
      </c>
      <c r="H8" s="2" t="inlineStr">
        <is>
          <t>OccSch_Unoccupied</t>
        </is>
      </c>
      <c r="I8" s="2" t="n">
        <v>6</v>
      </c>
      <c r="J8" s="2" t="inlineStr">
        <is>
          <t>AlwaysOff</t>
        </is>
      </c>
      <c r="K8" s="2" t="n">
        <v>0</v>
      </c>
      <c r="L8" s="2" t="inlineStr">
        <is>
          <t>AlwaysOff</t>
        </is>
      </c>
      <c r="M8" s="7">
        <f>IF(P8="Yes",Ref_Assumptions!$C$8&amp;" / "&amp;Ref_Assumptions!$C$9,"–")</f>
        <v/>
      </c>
      <c r="N8" s="7">
        <f>IF(P8="Yes",Ref_Assumptions!$C$10,"–")</f>
        <v/>
      </c>
      <c r="O8" s="2" t="inlineStr">
        <is>
          <t>70 / 40</t>
        </is>
      </c>
      <c r="P8" s="2" t="inlineStr">
        <is>
          <t>No</t>
        </is>
      </c>
      <c r="Q8" s="7">
        <f>IF(P8="Yes",Ref_Assumptions!$C$2,Ref_Assumptions!$C$4)</f>
        <v/>
      </c>
      <c r="R8" s="7">
        <f>IF(P8="Yes",Ref_Assumptions!$C$3,Ref_Assumptions!$C$4)</f>
        <v/>
      </c>
      <c r="S8" s="4">
        <f>SUMPRODUCT(ISNUMBER(SEARCH(", "&amp;T7_Zones!$B$2:$B$86&amp;",",", "&amp;D8&amp;","))*(T7_Zones!$A$2:$A$86=A8)*T7_Zones!$U$2:$U$86)</f>
        <v/>
      </c>
      <c r="T8" s="7">
        <f>Ref_Assumptions!$C$5</f>
        <v/>
      </c>
    </row>
    <row r="9">
      <c r="A9" s="2" t="inlineStr">
        <is>
          <t>B09</t>
        </is>
      </c>
      <c r="B9" s="2" t="inlineStr">
        <is>
          <t>Conditioned service / circulation</t>
        </is>
      </c>
      <c r="C9" s="2" t="n">
        <v>1</v>
      </c>
      <c r="D9" s="2" t="inlineStr">
        <is>
          <t>zone06</t>
        </is>
      </c>
      <c r="E9" s="20">
        <f>SUMPRODUCT(ISNUMBER(SEARCH(", "&amp;T7_Zones!$B$2:$B$86&amp;",",", "&amp;D9&amp;","))*(T7_Zones!$A$2:$A$86=A9)*T7_Zones!$D$2:$D$86)</f>
        <v/>
      </c>
      <c r="F9" s="9">
        <f>SUMPRODUCT(ISNUMBER(SEARCH(", "&amp;T7_Zones!$B$2:$B$86&amp;",",", "&amp;D9&amp;","))*(T7_Zones!$A$2:$A$86=A9)*T7_Zones!$F$2:$F$86)</f>
        <v/>
      </c>
      <c r="G9" s="2" t="n">
        <v>0</v>
      </c>
      <c r="H9" s="2" t="inlineStr">
        <is>
          <t>OccSch_Unoccupied</t>
        </is>
      </c>
      <c r="I9" s="2" t="n">
        <v>6</v>
      </c>
      <c r="J9" s="2" t="inlineStr">
        <is>
          <t>AlwaysOff</t>
        </is>
      </c>
      <c r="K9" s="2" t="n">
        <v>0</v>
      </c>
      <c r="L9" s="2" t="inlineStr">
        <is>
          <t>AlwaysOff</t>
        </is>
      </c>
      <c r="M9" s="7">
        <f>IF(P9="Yes",Ref_Assumptions!$C$8&amp;" / "&amp;Ref_Assumptions!$C$9,"–")</f>
        <v/>
      </c>
      <c r="N9" s="7">
        <f>IF(P9="Yes",Ref_Assumptions!$C$10,"–")</f>
        <v/>
      </c>
      <c r="O9" s="2" t="inlineStr">
        <is>
          <t>70 / 40</t>
        </is>
      </c>
      <c r="P9" s="2" t="inlineStr">
        <is>
          <t>Yes</t>
        </is>
      </c>
      <c r="Q9" s="7">
        <f>IF(P9="Yes",Ref_Assumptions!$C$2,Ref_Assumptions!$C$4)</f>
        <v/>
      </c>
      <c r="R9" s="7">
        <f>IF(P9="Yes",Ref_Assumptions!$C$3,Ref_Assumptions!$C$4)</f>
        <v/>
      </c>
      <c r="S9" s="4">
        <f>SUMPRODUCT(ISNUMBER(SEARCH(", "&amp;T7_Zones!$B$2:$B$86&amp;",",", "&amp;D9&amp;","))*(T7_Zones!$A$2:$A$86=A9)*T7_Zones!$U$2:$U$86)</f>
        <v/>
      </c>
      <c r="T9" s="7">
        <f>Ref_Assumptions!$C$5</f>
        <v/>
      </c>
    </row>
    <row r="10" ht="23.25" customHeight="1">
      <c r="A10" s="2" t="inlineStr">
        <is>
          <t>B09</t>
        </is>
      </c>
      <c r="B10" s="2" t="inlineStr">
        <is>
          <t>Unconditioned (stairs, shafts, storage, parking)</t>
        </is>
      </c>
      <c r="C10" s="2" t="n">
        <v>1</v>
      </c>
      <c r="D10" s="2" t="inlineStr">
        <is>
          <t>zone07</t>
        </is>
      </c>
      <c r="E10" s="20">
        <f>SUMPRODUCT(ISNUMBER(SEARCH(", "&amp;T7_Zones!$B$2:$B$86&amp;",",", "&amp;D10&amp;","))*(T7_Zones!$A$2:$A$86=A10)*T7_Zones!$D$2:$D$86)</f>
        <v/>
      </c>
      <c r="F10" s="9">
        <f>SUMPRODUCT(ISNUMBER(SEARCH(", "&amp;T7_Zones!$B$2:$B$86&amp;",",", "&amp;D10&amp;","))*(T7_Zones!$A$2:$A$86=A10)*T7_Zones!$F$2:$F$86)</f>
        <v/>
      </c>
      <c r="G10" s="2" t="n">
        <v>0</v>
      </c>
      <c r="H10" s="2" t="inlineStr">
        <is>
          <t>OccSch_Unoccupied</t>
        </is>
      </c>
      <c r="I10" s="2" t="n">
        <v>6</v>
      </c>
      <c r="J10" s="2" t="inlineStr">
        <is>
          <t>AlwaysOff</t>
        </is>
      </c>
      <c r="K10" s="2" t="n">
        <v>2</v>
      </c>
      <c r="L10" s="2" t="inlineStr">
        <is>
          <t>AlwaysOff</t>
        </is>
      </c>
      <c r="M10" s="7">
        <f>IF(P10="Yes",Ref_Assumptions!$C$8&amp;" / "&amp;Ref_Assumptions!$C$9,"–")</f>
        <v/>
      </c>
      <c r="N10" s="7">
        <f>IF(P10="Yes",Ref_Assumptions!$C$10,"–")</f>
        <v/>
      </c>
      <c r="O10" s="2" t="inlineStr">
        <is>
          <t>70 / 40</t>
        </is>
      </c>
      <c r="P10" s="2" t="inlineStr">
        <is>
          <t>No</t>
        </is>
      </c>
      <c r="Q10" s="7">
        <f>IF(P10="Yes",Ref_Assumptions!$C$2,Ref_Assumptions!$C$4)</f>
        <v/>
      </c>
      <c r="R10" s="7">
        <f>IF(P10="Yes",Ref_Assumptions!$C$3,Ref_Assumptions!$C$4)</f>
        <v/>
      </c>
      <c r="S10" s="4">
        <f>SUMPRODUCT(ISNUMBER(SEARCH(", "&amp;T7_Zones!$B$2:$B$86&amp;",",", "&amp;D10&amp;","))*(T7_Zones!$A$2:$A$86=A10)*T7_Zones!$U$2:$U$86)</f>
        <v/>
      </c>
      <c r="T10" s="7">
        <f>Ref_Assumptions!$C$5</f>
        <v/>
      </c>
    </row>
    <row r="11">
      <c r="A11" s="2" t="inlineStr">
        <is>
          <t>B09</t>
        </is>
      </c>
      <c r="B11" s="2" t="inlineStr">
        <is>
          <t>Conditioned service / circulation</t>
        </is>
      </c>
      <c r="C11" s="2" t="n">
        <v>1</v>
      </c>
      <c r="D11" s="2" t="inlineStr">
        <is>
          <t>zone08</t>
        </is>
      </c>
      <c r="E11" s="20">
        <f>SUMPRODUCT(ISNUMBER(SEARCH(", "&amp;T7_Zones!$B$2:$B$86&amp;",",", "&amp;D11&amp;","))*(T7_Zones!$A$2:$A$86=A11)*T7_Zones!$D$2:$D$86)</f>
        <v/>
      </c>
      <c r="F11" s="9">
        <f>SUMPRODUCT(ISNUMBER(SEARCH(", "&amp;T7_Zones!$B$2:$B$86&amp;",",", "&amp;D11&amp;","))*(T7_Zones!$A$2:$A$86=A11)*T7_Zones!$F$2:$F$86)</f>
        <v/>
      </c>
      <c r="G11" s="2" t="n">
        <v>0</v>
      </c>
      <c r="H11" s="2" t="inlineStr">
        <is>
          <t>OccSch_Unoccupied</t>
        </is>
      </c>
      <c r="I11" s="2" t="n">
        <v>6</v>
      </c>
      <c r="J11" s="2" t="inlineStr">
        <is>
          <t>AlwaysOff</t>
        </is>
      </c>
      <c r="K11" s="2" t="n">
        <v>2</v>
      </c>
      <c r="L11" s="2" t="inlineStr">
        <is>
          <t>AlwaysOff</t>
        </is>
      </c>
      <c r="M11" s="7">
        <f>IF(P11="Yes",Ref_Assumptions!$C$8&amp;" / "&amp;Ref_Assumptions!$C$9,"–")</f>
        <v/>
      </c>
      <c r="N11" s="7">
        <f>IF(P11="Yes",Ref_Assumptions!$C$10,"–")</f>
        <v/>
      </c>
      <c r="O11" s="2" t="inlineStr">
        <is>
          <t>70 / 40</t>
        </is>
      </c>
      <c r="P11" s="2" t="inlineStr">
        <is>
          <t>Yes</t>
        </is>
      </c>
      <c r="Q11" s="7">
        <f>IF(P11="Yes",Ref_Assumptions!$C$2,Ref_Assumptions!$C$4)</f>
        <v/>
      </c>
      <c r="R11" s="7">
        <f>IF(P11="Yes",Ref_Assumptions!$C$3,Ref_Assumptions!$C$4)</f>
        <v/>
      </c>
      <c r="S11" s="4">
        <f>SUMPRODUCT(ISNUMBER(SEARCH(", "&amp;T7_Zones!$B$2:$B$86&amp;",",", "&amp;D11&amp;","))*(T7_Zones!$A$2:$A$86=A11)*T7_Zones!$U$2:$U$86)</f>
        <v/>
      </c>
      <c r="T11" s="7">
        <f>Ref_Assumptions!$C$5</f>
        <v/>
      </c>
    </row>
    <row r="12">
      <c r="A12" s="2" t="inlineStr">
        <is>
          <t>B09</t>
        </is>
      </c>
      <c r="B12" s="2" t="inlineStr">
        <is>
          <t>Lecture hall / study room</t>
        </is>
      </c>
      <c r="C12" s="2" t="n">
        <v>2</v>
      </c>
      <c r="D12" s="2" t="inlineStr">
        <is>
          <t>zone09, zone30</t>
        </is>
      </c>
      <c r="E12" s="20">
        <f>SUMPRODUCT(ISNUMBER(SEARCH(", "&amp;T7_Zones!$B$2:$B$86&amp;",",", "&amp;D12&amp;","))*(T7_Zones!$A$2:$A$86=A12)*T7_Zones!$D$2:$D$86)</f>
        <v/>
      </c>
      <c r="F12" s="9">
        <f>SUMPRODUCT(ISNUMBER(SEARCH(", "&amp;T7_Zones!$B$2:$B$86&amp;",",", "&amp;D12&amp;","))*(T7_Zones!$A$2:$A$86=A12)*T7_Zones!$F$2:$F$86)</f>
        <v/>
      </c>
      <c r="G12" s="2" t="n">
        <v>0.6</v>
      </c>
      <c r="H12" s="2" t="inlineStr">
        <is>
          <t>OccSch_Unoccupied</t>
        </is>
      </c>
      <c r="I12" s="2" t="n">
        <v>6</v>
      </c>
      <c r="J12" s="2" t="inlineStr">
        <is>
          <t>LghSch_Costant</t>
        </is>
      </c>
      <c r="K12" s="2" t="n">
        <v>2</v>
      </c>
      <c r="L12" s="2" t="inlineStr">
        <is>
          <t>EqpSch_Costant</t>
        </is>
      </c>
      <c r="M12" s="7">
        <f>IF(P12="Yes",Ref_Assumptions!$C$8&amp;" / "&amp;Ref_Assumptions!$C$9,"–")</f>
        <v/>
      </c>
      <c r="N12" s="7">
        <f>IF(P12="Yes",Ref_Assumptions!$C$10,"–")</f>
        <v/>
      </c>
      <c r="O12" s="2" t="inlineStr">
        <is>
          <t>70 / 40</t>
        </is>
      </c>
      <c r="P12" s="2" t="inlineStr">
        <is>
          <t>Yes</t>
        </is>
      </c>
      <c r="Q12" s="7">
        <f>IF(P12="Yes",Ref_Assumptions!$C$2,Ref_Assumptions!$C$4)</f>
        <v/>
      </c>
      <c r="R12" s="7">
        <f>IF(P12="Yes",Ref_Assumptions!$C$3,Ref_Assumptions!$C$4)</f>
        <v/>
      </c>
      <c r="S12" s="4">
        <f>SUMPRODUCT(ISNUMBER(SEARCH(", "&amp;T7_Zones!$B$2:$B$86&amp;",",", "&amp;D12&amp;","))*(T7_Zones!$A$2:$A$86=A12)*T7_Zones!$U$2:$U$86)</f>
        <v/>
      </c>
      <c r="T12" s="7">
        <f>Ref_Assumptions!$C$5</f>
        <v/>
      </c>
    </row>
    <row r="13">
      <c r="A13" s="2" t="inlineStr">
        <is>
          <t>B09</t>
        </is>
      </c>
      <c r="B13" s="2" t="inlineStr">
        <is>
          <t>Office</t>
        </is>
      </c>
      <c r="C13" s="2" t="n">
        <v>1</v>
      </c>
      <c r="D13" s="2" t="inlineStr">
        <is>
          <t>zone11</t>
        </is>
      </c>
      <c r="E13" s="20">
        <f>SUMPRODUCT(ISNUMBER(SEARCH(", "&amp;T7_Zones!$B$2:$B$86&amp;",",", "&amp;D13&amp;","))*(T7_Zones!$A$2:$A$86=A13)*T7_Zones!$D$2:$D$86)</f>
        <v/>
      </c>
      <c r="F13" s="9">
        <f>SUMPRODUCT(ISNUMBER(SEARCH(", "&amp;T7_Zones!$B$2:$B$86&amp;",",", "&amp;D13&amp;","))*(T7_Zones!$A$2:$A$86=A13)*T7_Zones!$F$2:$F$86)</f>
        <v/>
      </c>
      <c r="G13" s="2" t="n">
        <v>0.12</v>
      </c>
      <c r="H13" s="2" t="inlineStr">
        <is>
          <t>OccSch_Unoccupied</t>
        </is>
      </c>
      <c r="I13" s="2" t="n">
        <v>7</v>
      </c>
      <c r="J13" s="2" t="inlineStr">
        <is>
          <t>LghSch_Costant</t>
        </is>
      </c>
      <c r="K13" s="2" t="n">
        <v>2</v>
      </c>
      <c r="L13" s="2" t="inlineStr">
        <is>
          <t>EqpSch_Costant</t>
        </is>
      </c>
      <c r="M13" s="7">
        <f>IF(P13="Yes",Ref_Assumptions!$C$8&amp;" / "&amp;Ref_Assumptions!$C$9,"–")</f>
        <v/>
      </c>
      <c r="N13" s="7">
        <f>IF(P13="Yes",Ref_Assumptions!$C$10,"–")</f>
        <v/>
      </c>
      <c r="O13" s="2" t="inlineStr">
        <is>
          <t>70 / 40</t>
        </is>
      </c>
      <c r="P13" s="2" t="inlineStr">
        <is>
          <t>Yes</t>
        </is>
      </c>
      <c r="Q13" s="7">
        <f>IF(P13="Yes",Ref_Assumptions!$C$2,Ref_Assumptions!$C$4)</f>
        <v/>
      </c>
      <c r="R13" s="7">
        <f>IF(P13="Yes",Ref_Assumptions!$C$3,Ref_Assumptions!$C$4)</f>
        <v/>
      </c>
      <c r="S13" s="4">
        <f>SUMPRODUCT(ISNUMBER(SEARCH(", "&amp;T7_Zones!$B$2:$B$86&amp;",",", "&amp;D13&amp;","))*(T7_Zones!$A$2:$A$86=A13)*T7_Zones!$U$2:$U$86)</f>
        <v/>
      </c>
      <c r="T13" s="7">
        <f>Ref_Assumptions!$C$5</f>
        <v/>
      </c>
    </row>
    <row r="14" ht="34.9" customHeight="1">
      <c r="A14" s="2" t="inlineStr">
        <is>
          <t>B09</t>
        </is>
      </c>
      <c r="B14" s="2" t="inlineStr">
        <is>
          <t>Lecture hall / study room</t>
        </is>
      </c>
      <c r="C14" s="2" t="n">
        <v>18</v>
      </c>
      <c r="D14" s="2" t="inlineStr">
        <is>
          <t>zone15, zone21, zone22, zone23, zone24, zone25, zone26, zone27, zone28, zone31, zone32, zone33, zone34, zone35, zone45, zone46, zone47, zone48</t>
        </is>
      </c>
      <c r="E14" s="20">
        <f>SUMPRODUCT(ISNUMBER(SEARCH(", "&amp;T7_Zones!$B$2:$B$86&amp;",",", "&amp;D14&amp;","))*(T7_Zones!$A$2:$A$86=A14)*T7_Zones!$D$2:$D$86)</f>
        <v/>
      </c>
      <c r="F14" s="9">
        <f>SUMPRODUCT(ISNUMBER(SEARCH(", "&amp;T7_Zones!$B$2:$B$86&amp;",",", "&amp;D14&amp;","))*(T7_Zones!$A$2:$A$86=A14)*T7_Zones!$F$2:$F$86)</f>
        <v/>
      </c>
      <c r="G14" s="2" t="n">
        <v>0.6</v>
      </c>
      <c r="H14" s="2" t="inlineStr">
        <is>
          <t>OccSch_&lt;room&gt; (lecture timetable)</t>
        </is>
      </c>
      <c r="I14" s="2" t="n">
        <v>6</v>
      </c>
      <c r="J14" s="2" t="inlineStr">
        <is>
          <t>LghSch_Costant</t>
        </is>
      </c>
      <c r="K14" s="2" t="n">
        <v>2</v>
      </c>
      <c r="L14" s="2" t="inlineStr">
        <is>
          <t>EqpSch_Costant</t>
        </is>
      </c>
      <c r="M14" s="7">
        <f>IF(P14="Yes",Ref_Assumptions!$C$8&amp;" / "&amp;Ref_Assumptions!$C$9,"–")</f>
        <v/>
      </c>
      <c r="N14" s="7">
        <f>IF(P14="Yes",Ref_Assumptions!$C$10,"–")</f>
        <v/>
      </c>
      <c r="O14" s="2" t="inlineStr">
        <is>
          <t>70 / 40</t>
        </is>
      </c>
      <c r="P14" s="2" t="inlineStr">
        <is>
          <t>Yes</t>
        </is>
      </c>
      <c r="Q14" s="7">
        <f>IF(P14="Yes",Ref_Assumptions!$C$2,Ref_Assumptions!$C$4)</f>
        <v/>
      </c>
      <c r="R14" s="7">
        <f>IF(P14="Yes",Ref_Assumptions!$C$3,Ref_Assumptions!$C$4)</f>
        <v/>
      </c>
      <c r="S14" s="4">
        <f>SUMPRODUCT(ISNUMBER(SEARCH(", "&amp;T7_Zones!$B$2:$B$86&amp;",",", "&amp;D14&amp;","))*(T7_Zones!$A$2:$A$86=A14)*T7_Zones!$U$2:$U$86)</f>
        <v/>
      </c>
      <c r="T14" s="7">
        <f>Ref_Assumptions!$C$5</f>
        <v/>
      </c>
    </row>
    <row r="15" ht="34.9" customHeight="1">
      <c r="A15" s="2" t="inlineStr">
        <is>
          <t>B09</t>
        </is>
      </c>
      <c r="B15" s="2" t="inlineStr">
        <is>
          <t>Research laboratory</t>
        </is>
      </c>
      <c r="C15" s="2" t="n">
        <v>16</v>
      </c>
      <c r="D15" s="2" t="inlineStr">
        <is>
          <t>zone16, zone17, zone18, zone19, zone20, zone36, zone37, zone38, zone39, zone40, zone41, zone42, zone43, zone44, zone49, zone50</t>
        </is>
      </c>
      <c r="E15" s="20">
        <f>SUMPRODUCT(ISNUMBER(SEARCH(", "&amp;T7_Zones!$B$2:$B$86&amp;",",", "&amp;D15&amp;","))*(T7_Zones!$A$2:$A$86=A15)*T7_Zones!$D$2:$D$86)</f>
        <v/>
      </c>
      <c r="F15" s="9">
        <f>SUMPRODUCT(ISNUMBER(SEARCH(", "&amp;T7_Zones!$B$2:$B$86&amp;",",", "&amp;D15&amp;","))*(T7_Zones!$A$2:$A$86=A15)*T7_Zones!$F$2:$F$86)</f>
        <v/>
      </c>
      <c r="G15" s="2" t="n">
        <v>0.3</v>
      </c>
      <c r="H15" s="2" t="inlineStr">
        <is>
          <t>OccSch_Unoccupied</t>
        </is>
      </c>
      <c r="I15" s="2" t="n">
        <v>6</v>
      </c>
      <c r="J15" s="2" t="inlineStr">
        <is>
          <t>LghSch_Costant</t>
        </is>
      </c>
      <c r="K15" s="2" t="n">
        <v>2</v>
      </c>
      <c r="L15" s="2" t="inlineStr">
        <is>
          <t>EqpSch_Costant</t>
        </is>
      </c>
      <c r="M15" s="7">
        <f>IF(P15="Yes",Ref_Assumptions!$C$8&amp;" / "&amp;Ref_Assumptions!$C$9,"–")</f>
        <v/>
      </c>
      <c r="N15" s="7">
        <f>IF(P15="Yes",Ref_Assumptions!$C$10,"–")</f>
        <v/>
      </c>
      <c r="O15" s="2" t="inlineStr">
        <is>
          <t>70 / 40</t>
        </is>
      </c>
      <c r="P15" s="2" t="inlineStr">
        <is>
          <t>Yes</t>
        </is>
      </c>
      <c r="Q15" s="7">
        <f>IF(P15="Yes",Ref_Assumptions!$C$2,Ref_Assumptions!$C$4)</f>
        <v/>
      </c>
      <c r="R15" s="7">
        <f>IF(P15="Yes",Ref_Assumptions!$C$3,Ref_Assumptions!$C$4)</f>
        <v/>
      </c>
      <c r="S15" s="4">
        <f>SUMPRODUCT(ISNUMBER(SEARCH(", "&amp;T7_Zones!$B$2:$B$86&amp;",",", "&amp;D15&amp;","))*(T7_Zones!$A$2:$A$86=A15)*T7_Zones!$U$2:$U$86)</f>
        <v/>
      </c>
      <c r="T15" s="7">
        <f>Ref_Assumptions!$C$5</f>
        <v/>
      </c>
    </row>
    <row r="16">
      <c r="A16" s="2" t="inlineStr">
        <is>
          <t>B10</t>
        </is>
      </c>
      <c r="B16" s="2" t="inlineStr">
        <is>
          <t>Conditioned service / circulation</t>
        </is>
      </c>
      <c r="C16" s="2" t="n">
        <v>2</v>
      </c>
      <c r="D16" s="2" t="inlineStr">
        <is>
          <t>zone00, zone17</t>
        </is>
      </c>
      <c r="E16" s="20">
        <f>SUMPRODUCT(ISNUMBER(SEARCH(", "&amp;T7_Zones!$B$2:$B$86&amp;",",", "&amp;D16&amp;","))*(T7_Zones!$A$2:$A$86=A16)*T7_Zones!$D$2:$D$86)</f>
        <v/>
      </c>
      <c r="F16" s="9">
        <f>SUMPRODUCT(ISNUMBER(SEARCH(", "&amp;T7_Zones!$B$2:$B$86&amp;",",", "&amp;D16&amp;","))*(T7_Zones!$A$2:$A$86=A16)*T7_Zones!$F$2:$F$86)</f>
        <v/>
      </c>
      <c r="G16" s="2" t="n">
        <v>0</v>
      </c>
      <c r="H16" s="2" t="inlineStr">
        <is>
          <t>OccSch_Unoccupied</t>
        </is>
      </c>
      <c r="I16" s="2" t="n">
        <v>6</v>
      </c>
      <c r="J16" s="2" t="inlineStr">
        <is>
          <t>LghSch_Costant</t>
        </is>
      </c>
      <c r="K16" s="2" t="n">
        <v>2</v>
      </c>
      <c r="L16" s="2" t="inlineStr">
        <is>
          <t>EqpSch_Costant</t>
        </is>
      </c>
      <c r="M16" s="7">
        <f>IF(P16="Yes",Ref_Assumptions!$C$8&amp;" / "&amp;Ref_Assumptions!$C$9,"–")</f>
        <v/>
      </c>
      <c r="N16" s="7">
        <f>IF(P16="Yes",Ref_Assumptions!$C$10,"–")</f>
        <v/>
      </c>
      <c r="O16" s="2" t="inlineStr">
        <is>
          <t>100 / 0</t>
        </is>
      </c>
      <c r="P16" s="2" t="inlineStr">
        <is>
          <t>Yes</t>
        </is>
      </c>
      <c r="Q16" s="7">
        <f>IF(P16="Yes",Ref_Assumptions!$C$2,Ref_Assumptions!$C$4)</f>
        <v/>
      </c>
      <c r="R16" s="7">
        <f>IF(P16="Yes",Ref_Assumptions!$C$3,Ref_Assumptions!$C$4)</f>
        <v/>
      </c>
      <c r="S16" s="4">
        <f>SUMPRODUCT(ISNUMBER(SEARCH(", "&amp;T7_Zones!$B$2:$B$86&amp;",",", "&amp;D16&amp;","))*(T7_Zones!$A$2:$A$86=A16)*T7_Zones!$U$2:$U$86)</f>
        <v/>
      </c>
      <c r="T16" s="7">
        <f>Ref_Assumptions!$C$5</f>
        <v/>
      </c>
    </row>
    <row r="17" ht="23.25" customHeight="1">
      <c r="A17" s="2" t="inlineStr">
        <is>
          <t>B10</t>
        </is>
      </c>
      <c r="B17" s="2" t="inlineStr">
        <is>
          <t>Unconditioned (stairs, shafts, storage, parking)</t>
        </is>
      </c>
      <c r="C17" s="2" t="n">
        <v>2</v>
      </c>
      <c r="D17" s="2" t="inlineStr">
        <is>
          <t>zone01, zone03</t>
        </is>
      </c>
      <c r="E17" s="20">
        <f>SUMPRODUCT(ISNUMBER(SEARCH(", "&amp;T7_Zones!$B$2:$B$86&amp;",",", "&amp;D17&amp;","))*(T7_Zones!$A$2:$A$86=A17)*T7_Zones!$D$2:$D$86)</f>
        <v/>
      </c>
      <c r="F17" s="9">
        <f>SUMPRODUCT(ISNUMBER(SEARCH(", "&amp;T7_Zones!$B$2:$B$86&amp;",",", "&amp;D17&amp;","))*(T7_Zones!$A$2:$A$86=A17)*T7_Zones!$F$2:$F$86)</f>
        <v/>
      </c>
      <c r="G17" s="2" t="n">
        <v>0</v>
      </c>
      <c r="H17" s="2" t="inlineStr">
        <is>
          <t>OccSch_Unoccupied</t>
        </is>
      </c>
      <c r="I17" s="2" t="n">
        <v>6</v>
      </c>
      <c r="J17" s="2" t="inlineStr">
        <is>
          <t>LghSch_Costant</t>
        </is>
      </c>
      <c r="K17" s="2" t="n">
        <v>2</v>
      </c>
      <c r="L17" s="2" t="inlineStr">
        <is>
          <t>EqpSch_Costant</t>
        </is>
      </c>
      <c r="M17" s="7">
        <f>IF(P17="Yes",Ref_Assumptions!$C$8&amp;" / "&amp;Ref_Assumptions!$C$9,"–")</f>
        <v/>
      </c>
      <c r="N17" s="7">
        <f>IF(P17="Yes",Ref_Assumptions!$C$10,"–")</f>
        <v/>
      </c>
      <c r="O17" s="2" t="inlineStr">
        <is>
          <t>70 / 40</t>
        </is>
      </c>
      <c r="P17" s="2" t="inlineStr">
        <is>
          <t>No</t>
        </is>
      </c>
      <c r="Q17" s="7">
        <f>IF(P17="Yes",Ref_Assumptions!$C$2,Ref_Assumptions!$C$4)</f>
        <v/>
      </c>
      <c r="R17" s="7">
        <f>IF(P17="Yes",Ref_Assumptions!$C$3,Ref_Assumptions!$C$4)</f>
        <v/>
      </c>
      <c r="S17" s="4">
        <f>SUMPRODUCT(ISNUMBER(SEARCH(", "&amp;T7_Zones!$B$2:$B$86&amp;",",", "&amp;D17&amp;","))*(T7_Zones!$A$2:$A$86=A17)*T7_Zones!$U$2:$U$86)</f>
        <v/>
      </c>
      <c r="T17" s="7">
        <f>Ref_Assumptions!$C$5</f>
        <v/>
      </c>
    </row>
    <row r="18" ht="23.25" customHeight="1">
      <c r="A18" s="2" t="inlineStr">
        <is>
          <t>B10</t>
        </is>
      </c>
      <c r="B18" s="2" t="inlineStr">
        <is>
          <t>Unconditioned (stairs, shafts, storage, parking)</t>
        </is>
      </c>
      <c r="C18" s="2" t="n">
        <v>4</v>
      </c>
      <c r="D18" s="2" t="inlineStr">
        <is>
          <t>zone02, zone07, zone10, zone11</t>
        </is>
      </c>
      <c r="E18" s="20">
        <f>SUMPRODUCT(ISNUMBER(SEARCH(", "&amp;T7_Zones!$B$2:$B$86&amp;",",", "&amp;D18&amp;","))*(T7_Zones!$A$2:$A$86=A18)*T7_Zones!$D$2:$D$86)</f>
        <v/>
      </c>
      <c r="F18" s="9">
        <f>SUMPRODUCT(ISNUMBER(SEARCH(", "&amp;T7_Zones!$B$2:$B$86&amp;",",", "&amp;D18&amp;","))*(T7_Zones!$A$2:$A$86=A18)*T7_Zones!$F$2:$F$86)</f>
        <v/>
      </c>
      <c r="G18" s="2" t="n">
        <v>0</v>
      </c>
      <c r="H18" s="2" t="inlineStr">
        <is>
          <t>OccSch_Unoccupied</t>
        </is>
      </c>
      <c r="I18" s="2" t="n">
        <v>6</v>
      </c>
      <c r="J18" s="2" t="inlineStr">
        <is>
          <t>AlwaysOff</t>
        </is>
      </c>
      <c r="K18" s="2" t="n">
        <v>0</v>
      </c>
      <c r="L18" s="2" t="inlineStr">
        <is>
          <t>AlwaysOff</t>
        </is>
      </c>
      <c r="M18" s="7">
        <f>IF(P18="Yes",Ref_Assumptions!$C$8&amp;" / "&amp;Ref_Assumptions!$C$9,"–")</f>
        <v/>
      </c>
      <c r="N18" s="7">
        <f>IF(P18="Yes",Ref_Assumptions!$C$10,"–")</f>
        <v/>
      </c>
      <c r="O18" s="2" t="inlineStr">
        <is>
          <t>70 / 40</t>
        </is>
      </c>
      <c r="P18" s="2" t="inlineStr">
        <is>
          <t>No</t>
        </is>
      </c>
      <c r="Q18" s="7">
        <f>IF(P18="Yes",Ref_Assumptions!$C$2,Ref_Assumptions!$C$4)</f>
        <v/>
      </c>
      <c r="R18" s="7">
        <f>IF(P18="Yes",Ref_Assumptions!$C$3,Ref_Assumptions!$C$4)</f>
        <v/>
      </c>
      <c r="S18" s="4">
        <f>SUMPRODUCT(ISNUMBER(SEARCH(", "&amp;T7_Zones!$B$2:$B$86&amp;",",", "&amp;D18&amp;","))*(T7_Zones!$A$2:$A$86=A18)*T7_Zones!$U$2:$U$86)</f>
        <v/>
      </c>
      <c r="T18" s="7">
        <f>Ref_Assumptions!$C$5</f>
        <v/>
      </c>
    </row>
    <row r="19" ht="23.25" customHeight="1">
      <c r="A19" s="2" t="inlineStr">
        <is>
          <t>B10</t>
        </is>
      </c>
      <c r="B19" s="2" t="inlineStr">
        <is>
          <t>Unconditioned (stairs, shafts, storage, parking)</t>
        </is>
      </c>
      <c r="C19" s="2" t="n">
        <v>1</v>
      </c>
      <c r="D19" s="2" t="inlineStr">
        <is>
          <t>zone04</t>
        </is>
      </c>
      <c r="E19" s="20">
        <f>SUMPRODUCT(ISNUMBER(SEARCH(", "&amp;T7_Zones!$B$2:$B$86&amp;",",", "&amp;D19&amp;","))*(T7_Zones!$A$2:$A$86=A19)*T7_Zones!$D$2:$D$86)</f>
        <v/>
      </c>
      <c r="F19" s="9">
        <f>SUMPRODUCT(ISNUMBER(SEARCH(", "&amp;T7_Zones!$B$2:$B$86&amp;",",", "&amp;D19&amp;","))*(T7_Zones!$A$2:$A$86=A19)*T7_Zones!$F$2:$F$86)</f>
        <v/>
      </c>
      <c r="G19" s="2" t="n">
        <v>0</v>
      </c>
      <c r="H19" s="2" t="inlineStr">
        <is>
          <t>OccSch_Unoccupied</t>
        </is>
      </c>
      <c r="I19" s="2" t="n">
        <v>6</v>
      </c>
      <c r="J19" s="2" t="inlineStr">
        <is>
          <t>LghSch_Unoccupied</t>
        </is>
      </c>
      <c r="K19" s="2" t="n">
        <v>2</v>
      </c>
      <c r="L19" s="2" t="inlineStr">
        <is>
          <t>EqpSch_Costant</t>
        </is>
      </c>
      <c r="M19" s="7">
        <f>IF(P19="Yes",Ref_Assumptions!$C$8&amp;" / "&amp;Ref_Assumptions!$C$9,"–")</f>
        <v/>
      </c>
      <c r="N19" s="7">
        <f>IF(P19="Yes",Ref_Assumptions!$C$10,"–")</f>
        <v/>
      </c>
      <c r="O19" s="2" t="inlineStr">
        <is>
          <t>70 / 40</t>
        </is>
      </c>
      <c r="P19" s="2" t="inlineStr">
        <is>
          <t>No</t>
        </is>
      </c>
      <c r="Q19" s="7">
        <f>IF(P19="Yes",Ref_Assumptions!$C$2,Ref_Assumptions!$C$4)</f>
        <v/>
      </c>
      <c r="R19" s="7">
        <f>IF(P19="Yes",Ref_Assumptions!$C$3,Ref_Assumptions!$C$4)</f>
        <v/>
      </c>
      <c r="S19" s="4">
        <f>SUMPRODUCT(ISNUMBER(SEARCH(", "&amp;T7_Zones!$B$2:$B$86&amp;",",", "&amp;D19&amp;","))*(T7_Zones!$A$2:$A$86=A19)*T7_Zones!$U$2:$U$86)</f>
        <v/>
      </c>
      <c r="T19" s="7">
        <f>Ref_Assumptions!$C$5</f>
        <v/>
      </c>
    </row>
    <row r="20">
      <c r="A20" s="2" t="inlineStr">
        <is>
          <t>B10</t>
        </is>
      </c>
      <c r="B20" s="2" t="inlineStr">
        <is>
          <t>Conditioned service / circulation</t>
        </is>
      </c>
      <c r="C20" s="2" t="n">
        <v>1</v>
      </c>
      <c r="D20" s="2" t="inlineStr">
        <is>
          <t>zone05</t>
        </is>
      </c>
      <c r="E20" s="20">
        <f>SUMPRODUCT(ISNUMBER(SEARCH(", "&amp;T7_Zones!$B$2:$B$86&amp;",",", "&amp;D20&amp;","))*(T7_Zones!$A$2:$A$86=A20)*T7_Zones!$D$2:$D$86)</f>
        <v/>
      </c>
      <c r="F20" s="9">
        <f>SUMPRODUCT(ISNUMBER(SEARCH(", "&amp;T7_Zones!$B$2:$B$86&amp;",",", "&amp;D20&amp;","))*(T7_Zones!$A$2:$A$86=A20)*T7_Zones!$F$2:$F$86)</f>
        <v/>
      </c>
      <c r="G20" s="2" t="n">
        <v>0</v>
      </c>
      <c r="H20" s="2" t="inlineStr">
        <is>
          <t>OccSch_Unoccupied</t>
        </is>
      </c>
      <c r="I20" s="2" t="n">
        <v>6</v>
      </c>
      <c r="J20" s="2" t="inlineStr">
        <is>
          <t>AlwaysOff</t>
        </is>
      </c>
      <c r="K20" s="2" t="n">
        <v>0</v>
      </c>
      <c r="L20" s="2" t="inlineStr">
        <is>
          <t>AlwaysOff</t>
        </is>
      </c>
      <c r="M20" s="7">
        <f>IF(P20="Yes",Ref_Assumptions!$C$8&amp;" / "&amp;Ref_Assumptions!$C$9,"–")</f>
        <v/>
      </c>
      <c r="N20" s="7">
        <f>IF(P20="Yes",Ref_Assumptions!$C$10,"–")</f>
        <v/>
      </c>
      <c r="O20" s="2" t="inlineStr">
        <is>
          <t>70 / 40</t>
        </is>
      </c>
      <c r="P20" s="2" t="inlineStr">
        <is>
          <t>Yes</t>
        </is>
      </c>
      <c r="Q20" s="7">
        <f>IF(P20="Yes",Ref_Assumptions!$C$2,Ref_Assumptions!$C$4)</f>
        <v/>
      </c>
      <c r="R20" s="7">
        <f>IF(P20="Yes",Ref_Assumptions!$C$3,Ref_Assumptions!$C$4)</f>
        <v/>
      </c>
      <c r="S20" s="4">
        <f>SUMPRODUCT(ISNUMBER(SEARCH(", "&amp;T7_Zones!$B$2:$B$86&amp;",",", "&amp;D20&amp;","))*(T7_Zones!$A$2:$A$86=A20)*T7_Zones!$U$2:$U$86)</f>
        <v/>
      </c>
      <c r="T20" s="7">
        <f>Ref_Assumptions!$C$5</f>
        <v/>
      </c>
    </row>
    <row r="21" ht="23.25" customHeight="1">
      <c r="A21" s="2" t="inlineStr">
        <is>
          <t>B10</t>
        </is>
      </c>
      <c r="B21" s="2" t="inlineStr">
        <is>
          <t>Unconditioned (stairs, shafts, storage, parking)</t>
        </is>
      </c>
      <c r="C21" s="2" t="n">
        <v>1</v>
      </c>
      <c r="D21" s="2" t="inlineStr">
        <is>
          <t>zone06</t>
        </is>
      </c>
      <c r="E21" s="20">
        <f>SUMPRODUCT(ISNUMBER(SEARCH(", "&amp;T7_Zones!$B$2:$B$86&amp;",",", "&amp;D21&amp;","))*(T7_Zones!$A$2:$A$86=A21)*T7_Zones!$D$2:$D$86)</f>
        <v/>
      </c>
      <c r="F21" s="9">
        <f>SUMPRODUCT(ISNUMBER(SEARCH(", "&amp;T7_Zones!$B$2:$B$86&amp;",",", "&amp;D21&amp;","))*(T7_Zones!$A$2:$A$86=A21)*T7_Zones!$F$2:$F$86)</f>
        <v/>
      </c>
      <c r="G21" s="2" t="n">
        <v>0</v>
      </c>
      <c r="H21" s="2" t="inlineStr">
        <is>
          <t>OccSch_&lt;room&gt; (lecture timetable)</t>
        </is>
      </c>
      <c r="I21" s="2" t="n">
        <v>6</v>
      </c>
      <c r="J21" s="2" t="inlineStr">
        <is>
          <t>LghSch_Costant</t>
        </is>
      </c>
      <c r="K21" s="2" t="n">
        <v>2</v>
      </c>
      <c r="L21" s="2" t="inlineStr">
        <is>
          <t>EqpSch_Costant</t>
        </is>
      </c>
      <c r="M21" s="7">
        <f>IF(P21="Yes",Ref_Assumptions!$C$8&amp;" / "&amp;Ref_Assumptions!$C$9,"–")</f>
        <v/>
      </c>
      <c r="N21" s="7">
        <f>IF(P21="Yes",Ref_Assumptions!$C$10,"–")</f>
        <v/>
      </c>
      <c r="O21" s="2" t="inlineStr">
        <is>
          <t>100 / 0</t>
        </is>
      </c>
      <c r="P21" s="2" t="inlineStr">
        <is>
          <t>No</t>
        </is>
      </c>
      <c r="Q21" s="7">
        <f>IF(P21="Yes",Ref_Assumptions!$C$2,Ref_Assumptions!$C$4)</f>
        <v/>
      </c>
      <c r="R21" s="7">
        <f>IF(P21="Yes",Ref_Assumptions!$C$3,Ref_Assumptions!$C$4)</f>
        <v/>
      </c>
      <c r="S21" s="4">
        <f>SUMPRODUCT(ISNUMBER(SEARCH(", "&amp;T7_Zones!$B$2:$B$86&amp;",",", "&amp;D21&amp;","))*(T7_Zones!$A$2:$A$86=A21)*T7_Zones!$U$2:$U$86)</f>
        <v/>
      </c>
      <c r="T21" s="7">
        <f>Ref_Assumptions!$C$5</f>
        <v/>
      </c>
    </row>
    <row r="22">
      <c r="A22" s="2" t="inlineStr">
        <is>
          <t>B10</t>
        </is>
      </c>
      <c r="B22" s="2" t="inlineStr">
        <is>
          <t>Conditioned service / circulation</t>
        </is>
      </c>
      <c r="C22" s="2" t="n">
        <v>2</v>
      </c>
      <c r="D22" s="2" t="inlineStr">
        <is>
          <t>zone08, zone13</t>
        </is>
      </c>
      <c r="E22" s="20">
        <f>SUMPRODUCT(ISNUMBER(SEARCH(", "&amp;T7_Zones!$B$2:$B$86&amp;",",", "&amp;D22&amp;","))*(T7_Zones!$A$2:$A$86=A22)*T7_Zones!$D$2:$D$86)</f>
        <v/>
      </c>
      <c r="F22" s="9">
        <f>SUMPRODUCT(ISNUMBER(SEARCH(", "&amp;T7_Zones!$B$2:$B$86&amp;",",", "&amp;D22&amp;","))*(T7_Zones!$A$2:$A$86=A22)*T7_Zones!$F$2:$F$86)</f>
        <v/>
      </c>
      <c r="G22" s="2" t="n">
        <v>0</v>
      </c>
      <c r="H22" s="2" t="inlineStr">
        <is>
          <t>OccSch_Unoccupied</t>
        </is>
      </c>
      <c r="I22" s="2" t="n">
        <v>6</v>
      </c>
      <c r="J22" s="2" t="inlineStr">
        <is>
          <t>LghSch_Unoccupied</t>
        </is>
      </c>
      <c r="K22" s="2" t="n">
        <v>0</v>
      </c>
      <c r="L22" s="2" t="inlineStr">
        <is>
          <t>EqpSch_Unoccupied</t>
        </is>
      </c>
      <c r="M22" s="7">
        <f>IF(P22="Yes",Ref_Assumptions!$C$8&amp;" / "&amp;Ref_Assumptions!$C$9,"–")</f>
        <v/>
      </c>
      <c r="N22" s="7">
        <f>IF(P22="Yes",Ref_Assumptions!$C$10,"–")</f>
        <v/>
      </c>
      <c r="O22" s="2" t="inlineStr">
        <is>
          <t>70 / 40</t>
        </is>
      </c>
      <c r="P22" s="2" t="inlineStr">
        <is>
          <t>Yes</t>
        </is>
      </c>
      <c r="Q22" s="7">
        <f>IF(P22="Yes",Ref_Assumptions!$C$2,Ref_Assumptions!$C$4)</f>
        <v/>
      </c>
      <c r="R22" s="7">
        <f>IF(P22="Yes",Ref_Assumptions!$C$3,Ref_Assumptions!$C$4)</f>
        <v/>
      </c>
      <c r="S22" s="4">
        <f>SUMPRODUCT(ISNUMBER(SEARCH(", "&amp;T7_Zones!$B$2:$B$86&amp;",",", "&amp;D22&amp;","))*(T7_Zones!$A$2:$A$86=A22)*T7_Zones!$U$2:$U$86)</f>
        <v/>
      </c>
      <c r="T22" s="7">
        <f>Ref_Assumptions!$C$5</f>
        <v/>
      </c>
    </row>
    <row r="23">
      <c r="A23" s="2" t="inlineStr">
        <is>
          <t>B10</t>
        </is>
      </c>
      <c r="B23" s="2" t="inlineStr">
        <is>
          <t>Conditioned service / circulation</t>
        </is>
      </c>
      <c r="C23" s="2" t="n">
        <v>1</v>
      </c>
      <c r="D23" s="2" t="inlineStr">
        <is>
          <t>zone09</t>
        </is>
      </c>
      <c r="E23" s="20">
        <f>SUMPRODUCT(ISNUMBER(SEARCH(", "&amp;T7_Zones!$B$2:$B$86&amp;",",", "&amp;D23&amp;","))*(T7_Zones!$A$2:$A$86=A23)*T7_Zones!$D$2:$D$86)</f>
        <v/>
      </c>
      <c r="F23" s="9">
        <f>SUMPRODUCT(ISNUMBER(SEARCH(", "&amp;T7_Zones!$B$2:$B$86&amp;",",", "&amp;D23&amp;","))*(T7_Zones!$A$2:$A$86=A23)*T7_Zones!$F$2:$F$86)</f>
        <v/>
      </c>
      <c r="G23" s="2" t="n">
        <v>0</v>
      </c>
      <c r="H23" s="2" t="inlineStr">
        <is>
          <t>OccSch_Unoccupied</t>
        </is>
      </c>
      <c r="I23" s="2" t="n">
        <v>6</v>
      </c>
      <c r="J23" s="2" t="inlineStr">
        <is>
          <t>LghSch_Costant</t>
        </is>
      </c>
      <c r="K23" s="2" t="n">
        <v>0</v>
      </c>
      <c r="L23" s="2" t="inlineStr">
        <is>
          <t>EqpSch_Unoccupied</t>
        </is>
      </c>
      <c r="M23" s="7">
        <f>IF(P23="Yes",Ref_Assumptions!$C$8&amp;" / "&amp;Ref_Assumptions!$C$9,"–")</f>
        <v/>
      </c>
      <c r="N23" s="7">
        <f>IF(P23="Yes",Ref_Assumptions!$C$10,"–")</f>
        <v/>
      </c>
      <c r="O23" s="2" t="inlineStr">
        <is>
          <t>70 / 40</t>
        </is>
      </c>
      <c r="P23" s="2" t="inlineStr">
        <is>
          <t>Yes</t>
        </is>
      </c>
      <c r="Q23" s="7">
        <f>IF(P23="Yes",Ref_Assumptions!$C$2,Ref_Assumptions!$C$4)</f>
        <v/>
      </c>
      <c r="R23" s="7">
        <f>IF(P23="Yes",Ref_Assumptions!$C$3,Ref_Assumptions!$C$4)</f>
        <v/>
      </c>
      <c r="S23" s="4">
        <f>SUMPRODUCT(ISNUMBER(SEARCH(", "&amp;T7_Zones!$B$2:$B$86&amp;",",", "&amp;D23&amp;","))*(T7_Zones!$A$2:$A$86=A23)*T7_Zones!$U$2:$U$86)</f>
        <v/>
      </c>
      <c r="T23" s="7">
        <f>Ref_Assumptions!$C$5</f>
        <v/>
      </c>
    </row>
    <row r="24">
      <c r="A24" s="2" t="inlineStr">
        <is>
          <t>B10</t>
        </is>
      </c>
      <c r="B24" s="2" t="inlineStr">
        <is>
          <t>Snack bar</t>
        </is>
      </c>
      <c r="C24" s="2" t="n">
        <v>1</v>
      </c>
      <c r="D24" s="2" t="inlineStr">
        <is>
          <t>zone12</t>
        </is>
      </c>
      <c r="E24" s="20">
        <f>SUMPRODUCT(ISNUMBER(SEARCH(", "&amp;T7_Zones!$B$2:$B$86&amp;",",", "&amp;D24&amp;","))*(T7_Zones!$A$2:$A$86=A24)*T7_Zones!$D$2:$D$86)</f>
        <v/>
      </c>
      <c r="F24" s="9">
        <f>SUMPRODUCT(ISNUMBER(SEARCH(", "&amp;T7_Zones!$B$2:$B$86&amp;",",", "&amp;D24&amp;","))*(T7_Zones!$A$2:$A$86=A24)*T7_Zones!$F$2:$F$86)</f>
        <v/>
      </c>
      <c r="G24" s="2" t="n">
        <v>0.8</v>
      </c>
      <c r="H24" s="2" t="inlineStr">
        <is>
          <t>OccSch_Unoccupied</t>
        </is>
      </c>
      <c r="I24" s="2" t="n">
        <v>6</v>
      </c>
      <c r="J24" s="2" t="inlineStr">
        <is>
          <t>LghSch_Costant</t>
        </is>
      </c>
      <c r="K24" s="2" t="n">
        <v>0</v>
      </c>
      <c r="L24" s="2" t="inlineStr">
        <is>
          <t>EqpSch_Unoccupied</t>
        </is>
      </c>
      <c r="M24" s="7">
        <f>IF(P24="Yes",Ref_Assumptions!$C$8&amp;" / "&amp;Ref_Assumptions!$C$9,"–")</f>
        <v/>
      </c>
      <c r="N24" s="7">
        <f>IF(P24="Yes",Ref_Assumptions!$C$10,"–")</f>
        <v/>
      </c>
      <c r="O24" s="2" t="inlineStr">
        <is>
          <t>70 / 40</t>
        </is>
      </c>
      <c r="P24" s="2" t="inlineStr">
        <is>
          <t>Yes</t>
        </is>
      </c>
      <c r="Q24" s="7">
        <f>IF(P24="Yes",Ref_Assumptions!$C$2,Ref_Assumptions!$C$4)</f>
        <v/>
      </c>
      <c r="R24" s="7">
        <f>IF(P24="Yes",Ref_Assumptions!$C$3,Ref_Assumptions!$C$4)</f>
        <v/>
      </c>
      <c r="S24" s="4">
        <f>SUMPRODUCT(ISNUMBER(SEARCH(", "&amp;T7_Zones!$B$2:$B$86&amp;",",", "&amp;D24&amp;","))*(T7_Zones!$A$2:$A$86=A24)*T7_Zones!$U$2:$U$86)</f>
        <v/>
      </c>
      <c r="T24" s="7">
        <f>Ref_Assumptions!$C$5</f>
        <v/>
      </c>
    </row>
    <row r="25">
      <c r="A25" s="2" t="inlineStr">
        <is>
          <t>B10</t>
        </is>
      </c>
      <c r="B25" s="2" t="inlineStr">
        <is>
          <t>Research laboratory</t>
        </is>
      </c>
      <c r="C25" s="2" t="n">
        <v>1</v>
      </c>
      <c r="D25" s="2" t="inlineStr">
        <is>
          <t>zone14</t>
        </is>
      </c>
      <c r="E25" s="20">
        <f>SUMPRODUCT(ISNUMBER(SEARCH(", "&amp;T7_Zones!$B$2:$B$86&amp;",",", "&amp;D25&amp;","))*(T7_Zones!$A$2:$A$86=A25)*T7_Zones!$D$2:$D$86)</f>
        <v/>
      </c>
      <c r="F25" s="9">
        <f>SUMPRODUCT(ISNUMBER(SEARCH(", "&amp;T7_Zones!$B$2:$B$86&amp;",",", "&amp;D25&amp;","))*(T7_Zones!$A$2:$A$86=A25)*T7_Zones!$F$2:$F$86)</f>
        <v/>
      </c>
      <c r="G25" s="2" t="n">
        <v>0.3</v>
      </c>
      <c r="H25" s="2" t="inlineStr">
        <is>
          <t>OccSch_Unoccupied</t>
        </is>
      </c>
      <c r="I25" s="2" t="n">
        <v>6</v>
      </c>
      <c r="J25" s="2" t="inlineStr">
        <is>
          <t>LghSch_Unoccupied</t>
        </is>
      </c>
      <c r="K25" s="2" t="n">
        <v>0</v>
      </c>
      <c r="L25" s="2" t="inlineStr">
        <is>
          <t>EqpSch_Unoccupied</t>
        </is>
      </c>
      <c r="M25" s="7">
        <f>IF(P25="Yes",Ref_Assumptions!$C$8&amp;" / "&amp;Ref_Assumptions!$C$9,"–")</f>
        <v/>
      </c>
      <c r="N25" s="7">
        <f>IF(P25="Yes",Ref_Assumptions!$C$10,"–")</f>
        <v/>
      </c>
      <c r="O25" s="2" t="inlineStr">
        <is>
          <t>70 / 40</t>
        </is>
      </c>
      <c r="P25" s="2" t="inlineStr">
        <is>
          <t>Yes</t>
        </is>
      </c>
      <c r="Q25" s="7">
        <f>IF(P25="Yes",Ref_Assumptions!$C$2,Ref_Assumptions!$C$4)</f>
        <v/>
      </c>
      <c r="R25" s="7">
        <f>IF(P25="Yes",Ref_Assumptions!$C$3,Ref_Assumptions!$C$4)</f>
        <v/>
      </c>
      <c r="S25" s="4">
        <f>SUMPRODUCT(ISNUMBER(SEARCH(", "&amp;T7_Zones!$B$2:$B$86&amp;",",", "&amp;D25&amp;","))*(T7_Zones!$A$2:$A$86=A25)*T7_Zones!$U$2:$U$86)</f>
        <v/>
      </c>
      <c r="T25" s="7">
        <f>Ref_Assumptions!$C$5</f>
        <v/>
      </c>
    </row>
    <row r="26" ht="23.25" customHeight="1">
      <c r="A26" s="2" t="inlineStr">
        <is>
          <t>B10</t>
        </is>
      </c>
      <c r="B26" s="2" t="inlineStr">
        <is>
          <t>Lecture hall / study room</t>
        </is>
      </c>
      <c r="C26" s="2" t="n">
        <v>4</v>
      </c>
      <c r="D26" s="2" t="inlineStr">
        <is>
          <t>zone15, zone16, zone18, zone19</t>
        </is>
      </c>
      <c r="E26" s="20">
        <f>SUMPRODUCT(ISNUMBER(SEARCH(", "&amp;T7_Zones!$B$2:$B$86&amp;",",", "&amp;D26&amp;","))*(T7_Zones!$A$2:$A$86=A26)*T7_Zones!$D$2:$D$86)</f>
        <v/>
      </c>
      <c r="F26" s="9">
        <f>SUMPRODUCT(ISNUMBER(SEARCH(", "&amp;T7_Zones!$B$2:$B$86&amp;",",", "&amp;D26&amp;","))*(T7_Zones!$A$2:$A$86=A26)*T7_Zones!$F$2:$F$86)</f>
        <v/>
      </c>
      <c r="G26" s="2" t="n">
        <v>0.6</v>
      </c>
      <c r="H26" s="2" t="inlineStr">
        <is>
          <t>OccSch_&lt;room&gt; (lecture timetable)</t>
        </is>
      </c>
      <c r="I26" s="2" t="n">
        <v>6</v>
      </c>
      <c r="J26" s="2" t="inlineStr">
        <is>
          <t>LghSch_&lt;room&gt; (lecture timetable)</t>
        </is>
      </c>
      <c r="K26" s="2" t="n">
        <v>10</v>
      </c>
      <c r="L26" s="2" t="inlineStr">
        <is>
          <t>EqpSch_&lt;room&gt; (lecture timetable)</t>
        </is>
      </c>
      <c r="M26" s="7">
        <f>IF(P26="Yes",Ref_Assumptions!$C$8&amp;" / "&amp;Ref_Assumptions!$C$9,"–")</f>
        <v/>
      </c>
      <c r="N26" s="7">
        <f>IF(P26="Yes",Ref_Assumptions!$C$10,"–")</f>
        <v/>
      </c>
      <c r="O26" s="2" t="inlineStr">
        <is>
          <t>70 / 40</t>
        </is>
      </c>
      <c r="P26" s="2" t="inlineStr">
        <is>
          <t>Yes</t>
        </is>
      </c>
      <c r="Q26" s="7">
        <f>IF(P26="Yes",Ref_Assumptions!$C$2,Ref_Assumptions!$C$4)</f>
        <v/>
      </c>
      <c r="R26" s="7">
        <f>IF(P26="Yes",Ref_Assumptions!$C$3,Ref_Assumptions!$C$4)</f>
        <v/>
      </c>
      <c r="S26" s="4">
        <f>SUMPRODUCT(ISNUMBER(SEARCH(", "&amp;T7_Zones!$B$2:$B$86&amp;",",", "&amp;D26&amp;","))*(T7_Zones!$A$2:$A$86=A26)*T7_Zones!$U$2:$U$86)</f>
        <v/>
      </c>
      <c r="T26" s="7">
        <f>Ref_Assumptions!$C$5</f>
        <v/>
      </c>
    </row>
  </sheetData>
  <autoFilter ref="A1:T26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25"/>
  <cols>
    <col width="30" customWidth="1" min="1" max="2"/>
    <col width="9" customWidth="1" min="3" max="3"/>
    <col width="30" customWidth="1" min="4" max="4"/>
    <col width="7" customWidth="1" min="5" max="5"/>
    <col width="110" customWidth="1" min="6" max="6"/>
    <col width="8" customWidth="1" min="7" max="7"/>
    <col width="9" customWidth="1" min="8" max="9"/>
    <col width="8" customWidth="1" min="10" max="12"/>
    <col width="11" customWidth="1" min="13" max="13"/>
    <col width="8" customWidth="1" min="14" max="14"/>
    <col width="11" customWidth="1" min="15" max="15"/>
    <col width="8" customWidth="1" min="16" max="16"/>
  </cols>
  <sheetData>
    <row r="1" ht="39.4" customHeight="1">
      <c r="A1" s="1" t="inlineStr">
        <is>
          <t>Construction</t>
        </is>
      </c>
      <c r="B1" s="1" t="inlineStr">
        <is>
          <t>Envelope role</t>
        </is>
      </c>
      <c r="C1" s="1" t="inlineStr">
        <is>
          <t>Include in paper</t>
        </is>
      </c>
      <c r="D1" s="1" t="inlineStr">
        <is>
          <t>Source</t>
        </is>
      </c>
      <c r="E1" s="1" t="inlineStr">
        <is>
          <t>N layers</t>
        </is>
      </c>
      <c r="F1" s="1" t="inlineStr">
        <is>
          <t>Layers outside → inside: material, thickness (λ W/m·K; ρ kg/m³; c J/kg·K)</t>
        </is>
      </c>
      <c r="G1" s="1" t="inlineStr">
        <is>
          <t>Layer data from</t>
        </is>
      </c>
      <c r="H1" s="1" t="inlineStr">
        <is>
          <t>Total thickness (m)</t>
        </is>
      </c>
      <c r="I1" s="1" t="inlineStr">
        <is>
          <t>R layers (m²K/W)</t>
        </is>
      </c>
      <c r="J1" s="1" t="inlineStr">
        <is>
          <t>Rsi (m²K/W)</t>
        </is>
      </c>
      <c r="K1" s="1" t="inlineStr">
        <is>
          <t>Rse (m²K/W)</t>
        </is>
      </c>
      <c r="L1" s="1" t="inlineStr">
        <is>
          <t>U (W/m²K)</t>
        </is>
      </c>
      <c r="M1" s="1" t="inlineStr">
        <is>
          <t>B09 net opaque area (m²)</t>
        </is>
      </c>
      <c r="N1" s="1" t="inlineStr">
        <is>
          <t>B09 N surfaces</t>
        </is>
      </c>
      <c r="O1" s="1" t="inlineStr">
        <is>
          <t>B10 net opaque area (m²)</t>
        </is>
      </c>
      <c r="P1" s="1" t="inlineStr">
        <is>
          <t>B10 N surfaces</t>
        </is>
      </c>
    </row>
    <row r="2" ht="34.9" customHeight="1">
      <c r="A2" s="2" t="inlineStr">
        <is>
          <t>WL_POLIMI-LC_EW01</t>
        </is>
      </c>
      <c r="B2" s="2" t="inlineStr">
        <is>
          <t>External wall</t>
        </is>
      </c>
      <c r="C2" s="10" t="inlineStr">
        <is>
          <t>Yes</t>
        </is>
      </c>
      <c r="D2" s="2" t="inlineStr">
        <is>
          <t>IFC IfcMaterialLayerSet</t>
        </is>
      </c>
      <c r="E2" s="2" t="n">
        <v>8</v>
      </c>
      <c r="F2" s="2" t="inlineStr">
        <is>
          <t>Pannello in alluminio 0.5 cm (λ 220; ρ 2700; c 896) | Camera d'aria fortemente ventilata 3.5 cm (λ 0.285; ρ 1; c 1004) | Isolante rigido 6 cm (λ 0.04; ρ 30; c 1452) | Membrana impermeabilizzante 0.5 cm (λ 0.23; ρ 1100; c 1000) | Camera d'aria debolmente ventilata 20 cm (λ 1; ρ 1; c 1004) | Isolante morbido 6.5 cm (λ 0.04; ρ 80; c 1028) | Gypsum Board 2.5 cm (λ 0.21; ρ 900; c 1000) | Intonaco interno 1 cm (λ 0.35; ρ 1200; c 999)</t>
        </is>
      </c>
      <c r="G2" s="2" t="inlineStr">
        <is>
          <t>B09</t>
        </is>
      </c>
      <c r="H2" s="21">
        <f>SUMIFS(Val_Layers!$F$2:$F$220,Val_Layers!$A$2:$A$220,G2,Val_Layers!$B$2:$B$220,A2)</f>
        <v/>
      </c>
      <c r="I2" s="21">
        <f>SUMIFS(Val_Layers!$N$2:$N$220,Val_Layers!$A$2:$A$220,G2,Val_Layers!$B$2:$B$220,A2)</f>
        <v/>
      </c>
      <c r="J2" s="12" t="n">
        <v>0.13</v>
      </c>
      <c r="K2" s="12" t="n">
        <v>0.04</v>
      </c>
      <c r="L2" s="5">
        <f>1/(J2+I2+K2)</f>
        <v/>
      </c>
      <c r="M2" s="2" t="n">
        <v>89.5</v>
      </c>
      <c r="N2" s="2" t="n">
        <v>3</v>
      </c>
      <c r="O2" s="2" t="n">
        <v>98.59999999999999</v>
      </c>
      <c r="P2" s="2" t="n">
        <v>3</v>
      </c>
    </row>
    <row r="3" ht="34.9" customHeight="1">
      <c r="A3" s="2" t="inlineStr">
        <is>
          <t>WL_POLIMI-LC_EW02</t>
        </is>
      </c>
      <c r="B3" s="2" t="inlineStr">
        <is>
          <t>External wall</t>
        </is>
      </c>
      <c r="C3" s="10" t="inlineStr">
        <is>
          <t>Yes</t>
        </is>
      </c>
      <c r="D3" s="2" t="inlineStr">
        <is>
          <t>IFC IfcMaterialLayerSet; also fallback for unmatched exterior faces</t>
        </is>
      </c>
      <c r="E3" s="2" t="n">
        <v>8</v>
      </c>
      <c r="F3" s="2" t="inlineStr">
        <is>
          <t>Pannello in alluminio 0.5 cm (λ 220; ρ 2700; c 896) | Camera d'aria fortemente ventilata 3.5 cm (λ 0.285; ρ 1; c 1004) | Isolante rigido 10 cm (λ 0.04; ρ 30; c 1452) | Membrana impermeabilizzante 0.5 cm (λ 0.23; ρ 1100; c 1000) | Camera d'aria debolmente ventilata 26 cm (λ 1; ρ 1; c 1004) | Isolante morbido 6.5 cm (λ 0.04; ρ 80; c 1028) | Gypsum Board 2.5 cm (λ 0.21; ρ 900; c 1000) | Intonaco interno 1 cm (λ 0.35; ρ 1200; c 999)</t>
        </is>
      </c>
      <c r="G3" s="2" t="inlineStr">
        <is>
          <t>B09</t>
        </is>
      </c>
      <c r="H3" s="21">
        <f>SUMIFS(Val_Layers!$F$2:$F$220,Val_Layers!$A$2:$A$220,G3,Val_Layers!$B$2:$B$220,A3)</f>
        <v/>
      </c>
      <c r="I3" s="21">
        <f>SUMIFS(Val_Layers!$N$2:$N$220,Val_Layers!$A$2:$A$220,G3,Val_Layers!$B$2:$B$220,A3)</f>
        <v/>
      </c>
      <c r="J3" s="12" t="n">
        <v>0.13</v>
      </c>
      <c r="K3" s="12" t="n">
        <v>0.04</v>
      </c>
      <c r="L3" s="5">
        <f>1/(J3+I3+K3)</f>
        <v/>
      </c>
      <c r="M3" s="2" t="n">
        <v>2427.6</v>
      </c>
      <c r="N3" s="2" t="n">
        <v>156</v>
      </c>
      <c r="O3" s="2" t="n">
        <v>531.9</v>
      </c>
      <c r="P3" s="2" t="n">
        <v>33</v>
      </c>
    </row>
    <row r="4" ht="46.5" customHeight="1">
      <c r="A4" s="2" t="inlineStr">
        <is>
          <t>WL_POLIMI-LC_EW03</t>
        </is>
      </c>
      <c r="B4" s="2" t="inlineStr">
        <is>
          <t>External wall</t>
        </is>
      </c>
      <c r="C4" s="10" t="inlineStr">
        <is>
          <t>Yes</t>
        </is>
      </c>
      <c r="D4" s="2" t="inlineStr">
        <is>
          <t>IFC IfcMaterialLayerSet</t>
        </is>
      </c>
      <c r="E4" s="2" t="n">
        <v>9</v>
      </c>
      <c r="F4" s="2" t="inlineStr">
        <is>
          <t>Pannello in alluminio 0.5 cm (λ 220; ρ 2700; c 896) | Camera d'aria fortemente ventilata 3.5 cm (λ 0.285; ρ 1; c 1004) | Isolante rigido 10 cm (λ 0.04; ρ 30; c 1452) | Membrana impermeabilizzante 0.5 cm (λ 0.23; ρ 1100; c 1000) | Camera d'aria debolmente ventilata 26.5 cm (λ 1; ρ 1; c 1004) | CLS 42.5 cm (λ 1.046; ρ 2300; c 657) | Isolante morbido 6.5 cm (λ 0.04; ρ 80; c 1028) | Gypsum Board 2.5 cm (λ 0.21; ρ 900; c 1000) | Intonaco interno 1 cm (λ 0.35; ρ 1200; c 999)</t>
        </is>
      </c>
      <c r="G4" s="2" t="inlineStr">
        <is>
          <t>B09</t>
        </is>
      </c>
      <c r="H4" s="21">
        <f>SUMIFS(Val_Layers!$F$2:$F$220,Val_Layers!$A$2:$A$220,G4,Val_Layers!$B$2:$B$220,A4)</f>
        <v/>
      </c>
      <c r="I4" s="21">
        <f>SUMIFS(Val_Layers!$N$2:$N$220,Val_Layers!$A$2:$A$220,G4,Val_Layers!$B$2:$B$220,A4)</f>
        <v/>
      </c>
      <c r="J4" s="12" t="n">
        <v>0.13</v>
      </c>
      <c r="K4" s="12" t="n">
        <v>0.04</v>
      </c>
      <c r="L4" s="5">
        <f>1/(J4+I4+K4)</f>
        <v/>
      </c>
      <c r="M4" s="2" t="n">
        <v>179.4</v>
      </c>
      <c r="N4" s="2" t="n">
        <v>13</v>
      </c>
      <c r="O4" s="2" t="n">
        <v>214</v>
      </c>
      <c r="P4" s="2" t="n">
        <v>8</v>
      </c>
    </row>
    <row r="5" ht="34.9" customHeight="1">
      <c r="A5" s="2" t="inlineStr">
        <is>
          <t>WL_POLIMI-LC_EW04</t>
        </is>
      </c>
      <c r="B5" s="2" t="inlineStr">
        <is>
          <t>External wall</t>
        </is>
      </c>
      <c r="C5" s="10" t="inlineStr">
        <is>
          <t>Yes</t>
        </is>
      </c>
      <c r="D5" s="2" t="inlineStr">
        <is>
          <t>IFC IfcMaterialLayerSet</t>
        </is>
      </c>
      <c r="E5" s="2" t="n">
        <v>7</v>
      </c>
      <c r="F5" s="2" t="inlineStr">
        <is>
          <t>Pannello in alluminio 0.5 cm (λ 220; ρ 2700; c 896) | Camera d'aria fortemente ventilata 3.5 cm (λ 0.285; ρ 1; c 1004) | Isolante rigido 10 cm (λ 0.04; ρ 30; c 1452) | Membrana impermeabilizzante 0.5 cm (λ 0.23; ρ 1100; c 1000) | Camera d'aria debolmente ventilata 26.5 cm (λ 1; ρ 1; c 1004) | CLS 42.5 cm (λ 1.046; ρ 2300; c 657) | Intonaco interno 1 cm (λ 0.35; ρ 1200; c 999)</t>
        </is>
      </c>
      <c r="G5" s="2" t="inlineStr">
        <is>
          <t>B09</t>
        </is>
      </c>
      <c r="H5" s="21">
        <f>SUMIFS(Val_Layers!$F$2:$F$220,Val_Layers!$A$2:$A$220,G5,Val_Layers!$B$2:$B$220,A5)</f>
        <v/>
      </c>
      <c r="I5" s="21">
        <f>SUMIFS(Val_Layers!$N$2:$N$220,Val_Layers!$A$2:$A$220,G5,Val_Layers!$B$2:$B$220,A5)</f>
        <v/>
      </c>
      <c r="J5" s="12" t="n">
        <v>0.13</v>
      </c>
      <c r="K5" s="12" t="n">
        <v>0.04</v>
      </c>
      <c r="L5" s="5">
        <f>1/(J5+I5+K5)</f>
        <v/>
      </c>
      <c r="M5" s="2" t="n">
        <v>250.3</v>
      </c>
      <c r="N5" s="2" t="n">
        <v>11</v>
      </c>
      <c r="O5" s="2" t="n">
        <v>12.3</v>
      </c>
      <c r="P5" s="2" t="n">
        <v>1</v>
      </c>
    </row>
    <row r="6" ht="46.5" customHeight="1">
      <c r="A6" s="2" t="inlineStr">
        <is>
          <t>WL_POLIMI-LC_EW05</t>
        </is>
      </c>
      <c r="B6" s="2" t="inlineStr">
        <is>
          <t>External wall</t>
        </is>
      </c>
      <c r="C6" s="10" t="inlineStr">
        <is>
          <t>Yes</t>
        </is>
      </c>
      <c r="D6" s="2" t="inlineStr">
        <is>
          <t>IFC IfcMaterialLayerSet</t>
        </is>
      </c>
      <c r="E6" s="2" t="n">
        <v>9</v>
      </c>
      <c r="F6" s="2" t="inlineStr">
        <is>
          <t>Pannello in alluminio 0.5 cm (λ 220; ρ 2700; c 896) | Camera d'aria fortemente ventilata 3.5 cm (λ 0.285; ρ 1; c 1004) | Isolante rigido 10 cm (λ 0.04; ρ 30; c 1452) | Membrana impermeabilizzante 0.5 cm (λ 0.23; ρ 1100; c 1000) | Camera d'aria debolmente ventilata 26.5 cm (λ 1; ρ 1; c 1004) | Camera d'aria fortemente ventilata 42.5 cm (λ 0.285; ρ 1; c 1004) | Isolante morbido 6.5 cm (λ 0.04; ρ 80; c 1028) | Gypsum Board 2.5 cm (λ 0.21; ρ 900; c 1000) | Intonaco interno 1 cm (λ 0.35; ρ 1200; c 999)</t>
        </is>
      </c>
      <c r="G6" s="2" t="inlineStr">
        <is>
          <t>B09</t>
        </is>
      </c>
      <c r="H6" s="21">
        <f>SUMIFS(Val_Layers!$F$2:$F$220,Val_Layers!$A$2:$A$220,G6,Val_Layers!$B$2:$B$220,A6)</f>
        <v/>
      </c>
      <c r="I6" s="21">
        <f>SUMIFS(Val_Layers!$N$2:$N$220,Val_Layers!$A$2:$A$220,G6,Val_Layers!$B$2:$B$220,A6)</f>
        <v/>
      </c>
      <c r="J6" s="12" t="n">
        <v>0.13</v>
      </c>
      <c r="K6" s="12" t="n">
        <v>0.04</v>
      </c>
      <c r="L6" s="5">
        <f>1/(J6+I6+K6)</f>
        <v/>
      </c>
      <c r="M6" s="2" t="n">
        <v>493.4</v>
      </c>
      <c r="N6" s="2" t="n">
        <v>34</v>
      </c>
      <c r="O6" s="2" t="n">
        <v>108</v>
      </c>
      <c r="P6" s="2" t="n">
        <v>2</v>
      </c>
    </row>
    <row r="7" ht="23.25" customHeight="1">
      <c r="A7" s="2" t="inlineStr">
        <is>
          <t>WL_POLIMI-LC_FC300</t>
        </is>
      </c>
      <c r="B7" s="2" t="inlineStr">
        <is>
          <t>External wall</t>
        </is>
      </c>
      <c r="C7" s="10" t="inlineStr">
        <is>
          <t>Yes</t>
        </is>
      </c>
      <c r="D7" s="2" t="inlineStr">
        <is>
          <t>IFC IfcMaterialLayerSet</t>
        </is>
      </c>
      <c r="E7" s="2" t="n">
        <v>3</v>
      </c>
      <c r="F7" s="2" t="inlineStr">
        <is>
          <t>Intonaco interno 1.5 cm (λ 0.35; ρ 1200; c 999) | Calcestruzzo- gettato in opera 26 cm (λ 1.046; ρ 2300; c 657) | Intonaco interno 1.5 cm (λ 0.35; ρ 1200; c 999)</t>
        </is>
      </c>
      <c r="G7" s="2" t="inlineStr">
        <is>
          <t>B10</t>
        </is>
      </c>
      <c r="H7" s="21">
        <f>SUMIFS(Val_Layers!$F$2:$F$220,Val_Layers!$A$2:$A$220,G7,Val_Layers!$B$2:$B$220,A7)</f>
        <v/>
      </c>
      <c r="I7" s="21">
        <f>SUMIFS(Val_Layers!$N$2:$N$220,Val_Layers!$A$2:$A$220,G7,Val_Layers!$B$2:$B$220,A7)</f>
        <v/>
      </c>
      <c r="J7" s="12" t="n">
        <v>0.13</v>
      </c>
      <c r="K7" s="12" t="n">
        <v>0.04</v>
      </c>
      <c r="L7" s="5">
        <f>1/(J7+I7+K7)</f>
        <v/>
      </c>
      <c r="M7" s="2" t="n">
        <v>0</v>
      </c>
      <c r="N7" s="2" t="n">
        <v>0</v>
      </c>
      <c r="O7" s="2" t="n">
        <v>190.2</v>
      </c>
      <c r="P7" s="2" t="n">
        <v>15</v>
      </c>
    </row>
    <row r="8" ht="23.25" customHeight="1">
      <c r="A8" s="2" t="inlineStr">
        <is>
          <t>WL_POLIMI-LC_FC300-2</t>
        </is>
      </c>
      <c r="B8" s="2" t="inlineStr">
        <is>
          <t>External wall</t>
        </is>
      </c>
      <c r="C8" s="10" t="inlineStr">
        <is>
          <t>Yes</t>
        </is>
      </c>
      <c r="D8" s="2" t="inlineStr">
        <is>
          <t>IFC IfcMaterialLayerSet</t>
        </is>
      </c>
      <c r="E8" s="2" t="n">
        <v>5</v>
      </c>
      <c r="F8" s="2" t="inlineStr">
        <is>
          <t>Intonaco interno 1.5 cm (λ 0.35; ρ 1200; c 999) | Calcestruzzo- gettato in opera 26 cm (λ 1.046; ρ 2300; c 657) | Isolante morbido 6.5 cm (λ 0.04; ρ 80; c 1028) | Gypsum Board 2.5 cm (λ 0.21; ρ 900; c 1000) | Intonaco interno 1 cm (λ 0.35; ρ 1200; c 999)</t>
        </is>
      </c>
      <c r="G8" s="2" t="inlineStr">
        <is>
          <t>B09</t>
        </is>
      </c>
      <c r="H8" s="21">
        <f>SUMIFS(Val_Layers!$F$2:$F$220,Val_Layers!$A$2:$A$220,G8,Val_Layers!$B$2:$B$220,A8)</f>
        <v/>
      </c>
      <c r="I8" s="21">
        <f>SUMIFS(Val_Layers!$N$2:$N$220,Val_Layers!$A$2:$A$220,G8,Val_Layers!$B$2:$B$220,A8)</f>
        <v/>
      </c>
      <c r="J8" s="12" t="n">
        <v>0.13</v>
      </c>
      <c r="K8" s="12" t="n">
        <v>0.04</v>
      </c>
      <c r="L8" s="5">
        <f>1/(J8+I8+K8)</f>
        <v/>
      </c>
      <c r="M8" s="2" t="n">
        <v>1131.6</v>
      </c>
      <c r="N8" s="2" t="n">
        <v>48</v>
      </c>
      <c r="O8" s="2" t="n">
        <v>0</v>
      </c>
      <c r="P8" s="2" t="n">
        <v>0</v>
      </c>
    </row>
    <row r="9" ht="34.9" customHeight="1">
      <c r="A9" s="2" t="inlineStr">
        <is>
          <t>WL_POLIMI-LC_FC300-3</t>
        </is>
      </c>
      <c r="B9" s="2" t="inlineStr">
        <is>
          <t>External wall</t>
        </is>
      </c>
      <c r="C9" s="10" t="inlineStr">
        <is>
          <t>Yes</t>
        </is>
      </c>
      <c r="D9" s="2" t="inlineStr">
        <is>
          <t>IFC IfcMaterialLayerSet</t>
        </is>
      </c>
      <c r="E9" s="2" t="n">
        <v>8</v>
      </c>
      <c r="F9" s="2" t="inlineStr">
        <is>
          <t>Intonaco interno 1.5 cm (λ 0.35; ρ 1200; c 999) | Gypsum Board 2.5 cm (λ 0.21; ρ 900; c 1000) | Isolante morbido 10 cm (λ 0.04; ρ 80; c 1028) | Camera d'aria debolmente ventilata 15 cm (λ 1; ρ 1; c 1004) | Calcestruzzo- gettato in opera 26 cm (λ 1.046; ρ 2300; c 657) | Isolante morbido 6.5 cm (λ 0.04; ρ 80; c 1028) | Gypsum Board 2.5 cm (λ 0.21; ρ 900; c 1000) | Intonaco interno 1 cm (λ 0.35; ρ 1200; c 999)</t>
        </is>
      </c>
      <c r="G9" s="2" t="inlineStr">
        <is>
          <t>B09</t>
        </is>
      </c>
      <c r="H9" s="21">
        <f>SUMIFS(Val_Layers!$F$2:$F$220,Val_Layers!$A$2:$A$220,G9,Val_Layers!$B$2:$B$220,A9)</f>
        <v/>
      </c>
      <c r="I9" s="21">
        <f>SUMIFS(Val_Layers!$N$2:$N$220,Val_Layers!$A$2:$A$220,G9,Val_Layers!$B$2:$B$220,A9)</f>
        <v/>
      </c>
      <c r="J9" s="12" t="n">
        <v>0.13</v>
      </c>
      <c r="K9" s="12" t="n">
        <v>0.04</v>
      </c>
      <c r="L9" s="5">
        <f>1/(J9+I9+K9)</f>
        <v/>
      </c>
      <c r="M9" s="2" t="n">
        <v>4.8</v>
      </c>
      <c r="N9" s="2" t="n">
        <v>1</v>
      </c>
      <c r="O9" s="2" t="n">
        <v>0</v>
      </c>
      <c r="P9" s="2" t="n">
        <v>0</v>
      </c>
    </row>
    <row r="10" ht="23.25" customHeight="1">
      <c r="A10" s="2" t="inlineStr">
        <is>
          <t>RF_POLIMI-LC_IH-E</t>
        </is>
      </c>
      <c r="B10" s="2" t="inlineStr">
        <is>
          <t>Roof</t>
        </is>
      </c>
      <c r="C10" s="10" t="inlineStr">
        <is>
          <t>Yes</t>
        </is>
      </c>
      <c r="D10" s="2" t="inlineStr">
        <is>
          <t>Notebook (manual layers)</t>
        </is>
      </c>
      <c r="E10" s="2" t="n">
        <v>4</v>
      </c>
      <c r="F10" s="2" t="inlineStr">
        <is>
          <t>Ghiaia 8 cm (λ 1.2; ρ 1700; c 1000) | Massetto 12 cm (λ 1.2; ρ 1700; c 1000) | Isolante rigido 8 cm (λ 0.04; ρ 30; c 1452) | CLS 25 cm (λ 1.046; ρ 2300; c 657)</t>
        </is>
      </c>
      <c r="G10" s="2" t="inlineStr">
        <is>
          <t>B09</t>
        </is>
      </c>
      <c r="H10" s="21">
        <f>SUMIFS(Val_Layers!$F$2:$F$220,Val_Layers!$A$2:$A$220,G10,Val_Layers!$B$2:$B$220,A10)</f>
        <v/>
      </c>
      <c r="I10" s="21">
        <f>SUMIFS(Val_Layers!$N$2:$N$220,Val_Layers!$A$2:$A$220,G10,Val_Layers!$B$2:$B$220,A10)</f>
        <v/>
      </c>
      <c r="J10" s="12" t="n">
        <v>0.1</v>
      </c>
      <c r="K10" s="12" t="n">
        <v>0.04</v>
      </c>
      <c r="L10" s="5">
        <f>1/(J10+I10+K10)</f>
        <v/>
      </c>
      <c r="M10" s="2" t="n">
        <v>4003</v>
      </c>
      <c r="N10" s="2" t="n">
        <v>52</v>
      </c>
      <c r="O10" s="2" t="n">
        <v>1590.2</v>
      </c>
      <c r="P10" s="2" t="n">
        <v>17</v>
      </c>
    </row>
    <row r="11" ht="34.9" customHeight="1">
      <c r="A11" s="2" t="inlineStr">
        <is>
          <t>FL_POLIMI-LC_GroundFloor</t>
        </is>
      </c>
      <c r="B11" s="2" t="inlineStr">
        <is>
          <t>Ground floor</t>
        </is>
      </c>
      <c r="C11" s="10" t="inlineStr">
        <is>
          <t>Yes</t>
        </is>
      </c>
      <c r="D11" s="2" t="inlineStr">
        <is>
          <t>IFC IfcMaterialLayerSet</t>
        </is>
      </c>
      <c r="E11" s="2" t="n">
        <v>7</v>
      </c>
      <c r="F11" s="2" t="inlineStr">
        <is>
          <t>Pavimento industriale 6 cm (λ 1.046; ρ 2300; c 657) | Massetto 8 cm (λ 1.2; ρ 1700; c 1000) | Isolante rigido 6 cm (λ 0.04; ρ 30; c 1452) | CLS 5 cm (λ 1.046; ρ 2300; c 657) | Camera d'aria fortemente ventilata 35 cm (λ 0.285; ρ 1; c 1004) | Magrone 10 cm (λ 1.046; ρ 2300; c 657) | Ghiaia 20 cm (λ 1.2; ρ 1700; c 1000)</t>
        </is>
      </c>
      <c r="G11" s="2" t="inlineStr">
        <is>
          <t>B09</t>
        </is>
      </c>
      <c r="H11" s="21">
        <f>SUMIFS(Val_Layers!$F$2:$F$220,Val_Layers!$A$2:$A$220,G11,Val_Layers!$B$2:$B$220,A11)</f>
        <v/>
      </c>
      <c r="I11" s="21">
        <f>SUMIFS(Val_Layers!$N$2:$N$220,Val_Layers!$A$2:$A$220,G11,Val_Layers!$B$2:$B$220,A11)</f>
        <v/>
      </c>
      <c r="J11" s="12" t="n">
        <v>0.17</v>
      </c>
      <c r="K11" s="12" t="n">
        <v>0</v>
      </c>
      <c r="L11" s="5">
        <f>1/(J11+I11+K11)</f>
        <v/>
      </c>
      <c r="M11" s="2" t="n">
        <v>2621.2</v>
      </c>
      <c r="N11" s="2" t="n">
        <v>46</v>
      </c>
      <c r="O11" s="2" t="n">
        <v>196.9</v>
      </c>
      <c r="P11" s="2" t="n">
        <v>15</v>
      </c>
    </row>
    <row r="12">
      <c r="A12" s="2" t="inlineStr">
        <is>
          <t>Generic Ground Slab</t>
        </is>
      </c>
      <c r="B12" s="2" t="inlineStr">
        <is>
          <t>Ground floor</t>
        </is>
      </c>
      <c r="C12" s="10" t="inlineStr">
        <is>
          <t>Yes</t>
        </is>
      </c>
      <c r="D12" s="2" t="inlineStr">
        <is>
          <t>HB default (no BIM match)</t>
        </is>
      </c>
      <c r="E12" s="2" t="n">
        <v>2</v>
      </c>
      <c r="F12" s="2" t="inlineStr">
        <is>
          <t>Generic 50mm Insulation 5 cm (λ 0.03; ρ 43; c 1210) | Generic HW Concrete 20 cm (λ 1.95; ρ 2240; c 900)</t>
        </is>
      </c>
      <c r="G12" s="2" t="inlineStr">
        <is>
          <t>B09</t>
        </is>
      </c>
      <c r="H12" s="21">
        <f>SUMIFS(Val_Layers!$F$2:$F$220,Val_Layers!$A$2:$A$220,G12,Val_Layers!$B$2:$B$220,A12)</f>
        <v/>
      </c>
      <c r="I12" s="21">
        <f>SUMIFS(Val_Layers!$N$2:$N$220,Val_Layers!$A$2:$A$220,G12,Val_Layers!$B$2:$B$220,A12)</f>
        <v/>
      </c>
      <c r="J12" s="12" t="n">
        <v>0.17</v>
      </c>
      <c r="K12" s="12" t="n">
        <v>0</v>
      </c>
      <c r="L12" s="5">
        <f>1/(J12+I12+K12)</f>
        <v/>
      </c>
      <c r="M12" s="2" t="n">
        <v>1381.7</v>
      </c>
      <c r="N12" s="2" t="n">
        <v>1</v>
      </c>
      <c r="O12" s="2" t="n">
        <v>0</v>
      </c>
      <c r="P12" s="2" t="n">
        <v>0</v>
      </c>
    </row>
    <row r="13" ht="23.25" customHeight="1">
      <c r="A13" s="2" t="inlineStr">
        <is>
          <t>FL_POLIMI-LC_InternalFloor_IH-E</t>
        </is>
      </c>
      <c r="B13" s="2" t="inlineStr">
        <is>
          <t>Floor over outdoor/unheated</t>
        </is>
      </c>
      <c r="C13" s="10" t="inlineStr">
        <is>
          <t>Yes</t>
        </is>
      </c>
      <c r="D13" s="2" t="inlineStr">
        <is>
          <t>IFC IfcMaterialLayerSet</t>
        </is>
      </c>
      <c r="E13" s="2" t="n">
        <v>5</v>
      </c>
      <c r="F13" s="2" t="inlineStr">
        <is>
          <t>Linoleum 1 cm (λ 0.041; ρ 50; c 2301) | Massetto 15 cm (λ 1.2; ρ 1700; c 1000) | Isolante rigido 10 cm (λ 0.04; ρ 30; c 1452) | Solaio laterocemento 15 cm (λ 0.66; ρ 1100; c 839) | Intonaco interno 2 cm (λ 0.35; ρ 1200; c 999)</t>
        </is>
      </c>
      <c r="G13" s="2" t="inlineStr">
        <is>
          <t>B10</t>
        </is>
      </c>
      <c r="H13" s="21">
        <f>SUMIFS(Val_Layers!$F$2:$F$220,Val_Layers!$A$2:$A$220,G13,Val_Layers!$B$2:$B$220,A13)</f>
        <v/>
      </c>
      <c r="I13" s="21">
        <f>SUMIFS(Val_Layers!$N$2:$N$220,Val_Layers!$A$2:$A$220,G13,Val_Layers!$B$2:$B$220,A13)</f>
        <v/>
      </c>
      <c r="J13" s="12" t="n">
        <v>0.17</v>
      </c>
      <c r="K13" s="12" t="n">
        <v>0.04</v>
      </c>
      <c r="L13" s="5">
        <f>1/(J13+I13+K13)</f>
        <v/>
      </c>
      <c r="M13" s="2" t="n">
        <v>0</v>
      </c>
      <c r="N13" s="2" t="n">
        <v>0</v>
      </c>
      <c r="O13" s="2" t="n">
        <v>1393.3</v>
      </c>
      <c r="P13" s="2" t="n">
        <v>13</v>
      </c>
    </row>
    <row r="14" ht="34.9" customHeight="1">
      <c r="A14" s="2" t="inlineStr">
        <is>
          <t>WL_POLIMI-LC_IW01</t>
        </is>
      </c>
      <c r="B14" s="2" t="inlineStr">
        <is>
          <t>Internal partition exposed to outdoors (adjacent cell excluded from BEM)</t>
        </is>
      </c>
      <c r="C14" s="13" t="inlineStr">
        <is>
          <t>No</t>
        </is>
      </c>
      <c r="D14" s="2" t="inlineStr">
        <is>
          <t>IFC IfcMaterialLayerSet</t>
        </is>
      </c>
      <c r="E14" s="2" t="n">
        <v>6</v>
      </c>
      <c r="F14" s="2" t="inlineStr">
        <is>
          <t>Intonaco gesso puro 1 cm (λ 0.35; ρ 1200; c 999) | Gypsum Board 2.5 cm (λ 0.21; ρ 900; c 1000) | Isolante morbido 4 cm (λ 0.04; ρ 80; c 1028) | Camera d'aria non ventilata 4 cm (λ 1; ρ 1; c 1003) | Calcestruzzo armato 30 cm (λ 2.3; ρ 2399.96; c 1000) | Intonaco interno 2 cm (λ 0.35; ρ 1200; c 999)</t>
        </is>
      </c>
      <c r="G14" s="2" t="inlineStr">
        <is>
          <t>B10</t>
        </is>
      </c>
      <c r="H14" s="21">
        <f>SUMIFS(Val_Layers!$F$2:$F$220,Val_Layers!$A$2:$A$220,G14,Val_Layers!$B$2:$B$220,A14)</f>
        <v/>
      </c>
      <c r="I14" s="21">
        <f>SUMIFS(Val_Layers!$N$2:$N$220,Val_Layers!$A$2:$A$220,G14,Val_Layers!$B$2:$B$220,A14)</f>
        <v/>
      </c>
      <c r="J14" s="12" t="n">
        <v>0.13</v>
      </c>
      <c r="K14" s="12" t="n">
        <v>0.13</v>
      </c>
      <c r="L14" s="5">
        <f>1/(J14+I14+K14)</f>
        <v/>
      </c>
      <c r="M14" s="2" t="n">
        <v>0</v>
      </c>
      <c r="N14" s="2" t="n">
        <v>0</v>
      </c>
      <c r="O14" s="2" t="n">
        <v>125.2</v>
      </c>
      <c r="P14" s="2" t="n">
        <v>3</v>
      </c>
    </row>
    <row r="15" ht="34.9" customHeight="1">
      <c r="A15" s="2" t="inlineStr">
        <is>
          <t>WL_POLIMI-LC_IW02</t>
        </is>
      </c>
      <c r="B15" s="2" t="inlineStr">
        <is>
          <t>Internal partition exposed to outdoors (adjacent cell excluded from BEM)</t>
        </is>
      </c>
      <c r="C15" s="13" t="inlineStr">
        <is>
          <t>No</t>
        </is>
      </c>
      <c r="D15" s="2" t="inlineStr">
        <is>
          <t>IFC IfcMaterialLayerSet</t>
        </is>
      </c>
      <c r="E15" s="2" t="n">
        <v>7</v>
      </c>
      <c r="F15" s="2" t="inlineStr">
        <is>
          <t>Intonaco interno 1 cm (λ 0.35; ρ 1200; c 999) | Gypsum Board 2.5 cm (λ 0.21; ρ 900; c 1000) | Isolante morbido 4 cm (λ 0.04; ρ 80; c 1028) | Camera d'aria non ventilata 6.5 cm (λ 1; ρ 1; c 1003) | Isolante morbido 4 cm (λ 0.04; ρ 80; c 1028) | Gypsum Board 2.5 cm (λ 0.21; ρ 900; c 1000) | Intonaco gesso puro 1 cm (λ 0.35; ρ 1200; c 999)</t>
        </is>
      </c>
      <c r="G15" s="2" t="inlineStr">
        <is>
          <t>B09</t>
        </is>
      </c>
      <c r="H15" s="21">
        <f>SUMIFS(Val_Layers!$F$2:$F$220,Val_Layers!$A$2:$A$220,G15,Val_Layers!$B$2:$B$220,A15)</f>
        <v/>
      </c>
      <c r="I15" s="21">
        <f>SUMIFS(Val_Layers!$N$2:$N$220,Val_Layers!$A$2:$A$220,G15,Val_Layers!$B$2:$B$220,A15)</f>
        <v/>
      </c>
      <c r="J15" s="12" t="n">
        <v>0.13</v>
      </c>
      <c r="K15" s="12" t="n">
        <v>0.13</v>
      </c>
      <c r="L15" s="5">
        <f>1/(J15+I15+K15)</f>
        <v/>
      </c>
      <c r="M15" s="2" t="n">
        <v>73</v>
      </c>
      <c r="N15" s="2" t="n">
        <v>2</v>
      </c>
      <c r="O15" s="2" t="n">
        <v>296.1</v>
      </c>
      <c r="P15" s="2" t="n">
        <v>20</v>
      </c>
    </row>
    <row r="16" ht="23.25" customHeight="1">
      <c r="A16" s="2" t="inlineStr">
        <is>
          <t>WL_POLIMI-LC_IW03</t>
        </is>
      </c>
      <c r="B16" s="2" t="inlineStr">
        <is>
          <t>Internal partition exposed to outdoors (adjacent cell excluded from BEM)</t>
        </is>
      </c>
      <c r="C16" s="13" t="inlineStr">
        <is>
          <t>No</t>
        </is>
      </c>
      <c r="D16" s="2" t="inlineStr">
        <is>
          <t>IFC IfcMaterialLayerSet</t>
        </is>
      </c>
      <c r="E16" s="2" t="n">
        <v>3</v>
      </c>
      <c r="F16" s="2" t="inlineStr">
        <is>
          <t>Intonaco interno 1 cm (λ 0.35; ρ 1200; c 999) | Gypsum Board 2.5 cm (λ 0.21; ρ 900; c 1000) | Isolante morbido 6.5 cm (λ 0.04; ρ 80; c 1028)</t>
        </is>
      </c>
      <c r="G16" s="2" t="inlineStr">
        <is>
          <t>B09</t>
        </is>
      </c>
      <c r="H16" s="21">
        <f>SUMIFS(Val_Layers!$F$2:$F$220,Val_Layers!$A$2:$A$220,G16,Val_Layers!$B$2:$B$220,A16)</f>
        <v/>
      </c>
      <c r="I16" s="21">
        <f>SUMIFS(Val_Layers!$N$2:$N$220,Val_Layers!$A$2:$A$220,G16,Val_Layers!$B$2:$B$220,A16)</f>
        <v/>
      </c>
      <c r="J16" s="12" t="n">
        <v>0.13</v>
      </c>
      <c r="K16" s="12" t="n">
        <v>0.13</v>
      </c>
      <c r="L16" s="5">
        <f>1/(J16+I16+K16)</f>
        <v/>
      </c>
      <c r="M16" s="2" t="n">
        <v>1538.1</v>
      </c>
      <c r="N16" s="2" t="n">
        <v>135</v>
      </c>
      <c r="O16" s="2" t="n">
        <v>237.8</v>
      </c>
      <c r="P16" s="2" t="n">
        <v>14</v>
      </c>
    </row>
    <row r="17" ht="34.9" customHeight="1">
      <c r="A17" s="2" t="inlineStr">
        <is>
          <t>WL_POLIMI-LC_IW04</t>
        </is>
      </c>
      <c r="B17" s="2" t="inlineStr">
        <is>
          <t>Internal partition exposed to outdoors (adjacent cell excluded from BEM)</t>
        </is>
      </c>
      <c r="C17" s="13" t="inlineStr">
        <is>
          <t>No</t>
        </is>
      </c>
      <c r="D17" s="2" t="inlineStr">
        <is>
          <t>IFC IfcMaterialLayerSet</t>
        </is>
      </c>
      <c r="E17" s="2" t="n">
        <v>8</v>
      </c>
      <c r="F17" s="2" t="inlineStr">
        <is>
          <t>Intonaco interno 1 cm (λ 0.35; ρ 1200; c 999) | Gypsum Board 2.5 cm (λ 0.21; ρ 900; c 1000) | Isolante morbido 4 cm (λ 0.04; ρ 80; c 1028) | Camera d'aria non ventilata 6.5 cm (λ 1; ρ 1; c 1003) | Isolante morbido 4 cm (λ 0.04; ρ 80; c 1028) | Gypsum Board 2.5 cm (λ 0.21; ρ 900; c 1000) | Intonaco gesso puro 1 cm (λ 0.35; ρ 1200; c 999) | Piastrelle 1.5 cm (λ 1.3; ρ 2300; c 839)</t>
        </is>
      </c>
      <c r="G17" s="2" t="inlineStr">
        <is>
          <t>B10</t>
        </is>
      </c>
      <c r="H17" s="21">
        <f>SUMIFS(Val_Layers!$F$2:$F$220,Val_Layers!$A$2:$A$220,G17,Val_Layers!$B$2:$B$220,A17)</f>
        <v/>
      </c>
      <c r="I17" s="21">
        <f>SUMIFS(Val_Layers!$N$2:$N$220,Val_Layers!$A$2:$A$220,G17,Val_Layers!$B$2:$B$220,A17)</f>
        <v/>
      </c>
      <c r="J17" s="12" t="n">
        <v>0.13</v>
      </c>
      <c r="K17" s="12" t="n">
        <v>0.13</v>
      </c>
      <c r="L17" s="5">
        <f>1/(J17+I17+K17)</f>
        <v/>
      </c>
      <c r="M17" s="2" t="n">
        <v>0</v>
      </c>
      <c r="N17" s="2" t="n">
        <v>0</v>
      </c>
      <c r="O17" s="2" t="n">
        <v>33.5</v>
      </c>
      <c r="P17" s="2" t="n">
        <v>2</v>
      </c>
    </row>
    <row r="18" ht="34.9" customHeight="1">
      <c r="A18" s="2" t="inlineStr">
        <is>
          <t>WL_POLIMI-LC_IW05_Toilet</t>
        </is>
      </c>
      <c r="B18" s="2" t="inlineStr">
        <is>
          <t>Internal partition exposed to outdoors (adjacent cell excluded from BEM)</t>
        </is>
      </c>
      <c r="C18" s="13" t="inlineStr">
        <is>
          <t>No</t>
        </is>
      </c>
      <c r="D18" s="2" t="inlineStr">
        <is>
          <t>IFC IfcMaterialLayerSet</t>
        </is>
      </c>
      <c r="E18" s="2" t="n">
        <v>9</v>
      </c>
      <c r="F18" s="2" t="inlineStr">
        <is>
          <t>Piastrelle 1.5 cm (λ 1.3; ρ 2300; c 839) | Intonaco interno 1 cm (λ 0.35; ρ 1200; c 999) | Gypsum Board 2.5 cm (λ 0.21; ρ 900; c 1000) | Isolante morbido 4 cm (λ 0.04; ρ 80; c 1028) | Camera d'aria non ventilata 6.5 cm (λ 1; ρ 1; c 1003) | Isolante morbido 4 cm (λ 0.04; ρ 80; c 1028) | Gypsum Board 2.5 cm (λ 0.21; ρ 900; c 1000) | Intonaco gesso puro 1 cm (λ 0.35; ρ 1200; c 999) | Piastrelle 1.5 cm (λ 1.3; ρ 2300; c 839)</t>
        </is>
      </c>
      <c r="G18" s="2" t="inlineStr">
        <is>
          <t>B09</t>
        </is>
      </c>
      <c r="H18" s="21">
        <f>SUMIFS(Val_Layers!$F$2:$F$220,Val_Layers!$A$2:$A$220,G18,Val_Layers!$B$2:$B$220,A18)</f>
        <v/>
      </c>
      <c r="I18" s="21">
        <f>SUMIFS(Val_Layers!$N$2:$N$220,Val_Layers!$A$2:$A$220,G18,Val_Layers!$B$2:$B$220,A18)</f>
        <v/>
      </c>
      <c r="J18" s="12" t="n">
        <v>0.13</v>
      </c>
      <c r="K18" s="12" t="n">
        <v>0.13</v>
      </c>
      <c r="L18" s="5">
        <f>1/(J18+I18+K18)</f>
        <v/>
      </c>
      <c r="M18" s="2" t="n">
        <v>190.1</v>
      </c>
      <c r="N18" s="2" t="n">
        <v>16</v>
      </c>
      <c r="O18" s="2" t="n">
        <v>112.4</v>
      </c>
      <c r="P18" s="2" t="n">
        <v>7</v>
      </c>
    </row>
    <row r="19" ht="23.25" customHeight="1">
      <c r="A19" s="2" t="inlineStr">
        <is>
          <t>WL_POLIMI-LC_IW06_Toilet</t>
        </is>
      </c>
      <c r="B19" s="2" t="inlineStr">
        <is>
          <t>Internal partition exposed to outdoors (adjacent cell excluded from BEM)</t>
        </is>
      </c>
      <c r="C19" s="13" t="inlineStr">
        <is>
          <t>No</t>
        </is>
      </c>
      <c r="D19" s="2" t="inlineStr">
        <is>
          <t>IFC IfcMaterialLayerSet</t>
        </is>
      </c>
      <c r="E19" s="2" t="n">
        <v>5</v>
      </c>
      <c r="F19" s="2" t="inlineStr">
        <is>
          <t>Camera d'aria non ventilata 6.5 cm (λ 1; ρ 1; c 1003) | Isolante morbido 4 cm (λ 0.04; ρ 80; c 1028) | Gypsum Board 2.5 cm (λ 0.21; ρ 900; c 1000) | Intonaco gesso puro 1 cm (λ 0.35; ρ 1200; c 999) | Piastrelle 1.5 cm (λ 1.3; ρ 2300; c 839)</t>
        </is>
      </c>
      <c r="G19" s="2" t="inlineStr">
        <is>
          <t>B09</t>
        </is>
      </c>
      <c r="H19" s="21">
        <f>SUMIFS(Val_Layers!$F$2:$F$220,Val_Layers!$A$2:$A$220,G19,Val_Layers!$B$2:$B$220,A19)</f>
        <v/>
      </c>
      <c r="I19" s="21">
        <f>SUMIFS(Val_Layers!$N$2:$N$220,Val_Layers!$A$2:$A$220,G19,Val_Layers!$B$2:$B$220,A19)</f>
        <v/>
      </c>
      <c r="J19" s="12" t="n">
        <v>0.13</v>
      </c>
      <c r="K19" s="12" t="n">
        <v>0.13</v>
      </c>
      <c r="L19" s="5">
        <f>1/(J19+I19+K19)</f>
        <v/>
      </c>
      <c r="M19" s="2" t="n">
        <v>295.6</v>
      </c>
      <c r="N19" s="2" t="n">
        <v>21</v>
      </c>
      <c r="O19" s="2" t="n">
        <v>85.2</v>
      </c>
      <c r="P19" s="2" t="n">
        <v>4</v>
      </c>
    </row>
  </sheetData>
  <autoFilter ref="A1:P19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25"/>
  <cols>
    <col width="46" customWidth="1" min="1" max="1"/>
    <col width="34" customWidth="1" min="2" max="3"/>
    <col width="9" customWidth="1" min="4" max="4"/>
    <col width="8" customWidth="1" min="5" max="6"/>
    <col width="10" customWidth="1" min="7" max="8"/>
    <col width="11" customWidth="1" min="9" max="9"/>
    <col width="10" customWidth="1" min="10" max="11"/>
    <col width="20" customWidth="1" min="12" max="12"/>
    <col width="8" customWidth="1" min="13" max="13"/>
    <col width="9" customWidth="1" min="14" max="15"/>
    <col width="8" customWidth="1" min="16" max="16"/>
    <col width="9" customWidth="1" min="17" max="18"/>
    <col width="50" customWidth="1" min="19" max="19"/>
  </cols>
  <sheetData>
    <row r="1" ht="52.5" customHeight="1">
      <c r="A1" s="1" t="inlineStr">
        <is>
          <t>Construction</t>
        </is>
      </c>
      <c r="B1" s="1" t="inlineStr">
        <is>
          <t>Element</t>
        </is>
      </c>
      <c r="C1" s="1" t="inlineStr">
        <is>
          <t>E+ model</t>
        </is>
      </c>
      <c r="D1" s="1" t="inlineStr">
        <is>
          <t>U (W/m²K)</t>
        </is>
      </c>
      <c r="E1" s="1" t="inlineStr">
        <is>
          <t>SHGC</t>
        </is>
      </c>
      <c r="F1" s="1" t="inlineStr">
        <is>
          <t>VT</t>
        </is>
      </c>
      <c r="G1" s="1" t="inlineStr">
        <is>
          <t>Glass layers (BIM)</t>
        </is>
      </c>
      <c r="H1" s="1" t="inlineStr">
        <is>
          <t>Glass U (BIM, W/m²K)</t>
        </is>
      </c>
      <c r="I1" s="1" t="inlineStr">
        <is>
          <t>Frame material (BIM)</t>
        </is>
      </c>
      <c r="J1" s="1" t="inlineStr">
        <is>
          <t>Frame U (BIM, W/m²K)</t>
        </is>
      </c>
      <c r="K1" s="1" t="inlineStr">
        <is>
          <t>Glazing area fraction (BIM)</t>
        </is>
      </c>
      <c r="L1" s="1" t="inlineStr">
        <is>
          <t>Glazed fraction in BEM</t>
        </is>
      </c>
      <c r="M1" s="1" t="inlineStr">
        <is>
          <t>B09 N surfaces</t>
        </is>
      </c>
      <c r="N1" s="1" t="inlineStr">
        <is>
          <t>B09 area (m²)</t>
        </is>
      </c>
      <c r="O1" s="1" t="inlineStr">
        <is>
          <t>B09 with ext. blind</t>
        </is>
      </c>
      <c r="P1" s="1" t="inlineStr">
        <is>
          <t>B10 N surfaces</t>
        </is>
      </c>
      <c r="Q1" s="1" t="inlineStr">
        <is>
          <t>B10 area (m²)</t>
        </is>
      </c>
      <c r="R1" s="1" t="inlineStr">
        <is>
          <t>B10 with ext. blind</t>
        </is>
      </c>
      <c r="S1" s="1" t="inlineStr">
        <is>
          <t>Note</t>
        </is>
      </c>
    </row>
    <row r="2">
      <c r="A2" s="2" t="inlineStr">
        <is>
          <t>windowConstruction_U0.9_SHGC0.67_VT0.8</t>
        </is>
      </c>
      <c r="B2" s="2" t="inlineStr">
        <is>
          <t>Window / glazed door (IfcWindow, IfcDoor)</t>
        </is>
      </c>
      <c r="C2" s="2" t="inlineStr">
        <is>
          <t>WindowMaterial:SimpleGlazingSystem</t>
        </is>
      </c>
      <c r="D2" s="2" t="n">
        <v>0.9</v>
      </c>
      <c r="E2" s="2" t="n">
        <v>0.67</v>
      </c>
      <c r="F2" s="2" t="n">
        <v>0.8</v>
      </c>
      <c r="G2" s="2" t="inlineStr">
        <is>
          <t>Double</t>
        </is>
      </c>
      <c r="H2" s="2" t="n">
        <v>1.1</v>
      </c>
      <c r="I2" s="2" t="inlineStr">
        <is>
          <t>Aluminium</t>
        </is>
      </c>
      <c r="J2" s="2" t="n">
        <v>0.7</v>
      </c>
      <c r="K2" s="2" t="n">
        <v>0.8</v>
      </c>
      <c r="L2" s="2" t="inlineStr">
        <is>
          <t>geometry of the aperture</t>
        </is>
      </c>
      <c r="M2" s="2" t="n">
        <v>1</v>
      </c>
      <c r="N2" s="2" t="n">
        <v>3.8</v>
      </c>
      <c r="O2" s="2" t="n">
        <v>0</v>
      </c>
      <c r="P2" s="2" t="n">
        <v>2</v>
      </c>
      <c r="Q2" s="2" t="n">
        <v>23</v>
      </c>
      <c r="R2" s="2" t="n">
        <v>1</v>
      </c>
      <c r="S2" s="2" t="n"/>
    </row>
    <row r="3" ht="23.25" customHeight="1">
      <c r="A3" s="2" t="inlineStr">
        <is>
          <t>curtainWallWindowConstruction_U0.9_SHGC0.67_VT0.8</t>
        </is>
      </c>
      <c r="B3" s="2" t="inlineStr">
        <is>
          <t>Curtain wall (IfcWall CurtainWall / CurtainWall150)</t>
        </is>
      </c>
      <c r="C3" s="2" t="inlineStr">
        <is>
          <t>WindowMaterial:SimpleGlazingSystem</t>
        </is>
      </c>
      <c r="D3" s="2" t="n">
        <v>0.9</v>
      </c>
      <c r="E3" s="2" t="n">
        <v>0.67</v>
      </c>
      <c r="F3" s="2" t="n">
        <v>0.8</v>
      </c>
      <c r="G3" s="2" t="inlineStr">
        <is>
          <t>Double</t>
        </is>
      </c>
      <c r="H3" s="2" t="n">
        <v>1.1</v>
      </c>
      <c r="I3" s="2" t="inlineStr">
        <is>
          <t>Aluminium</t>
        </is>
      </c>
      <c r="J3" s="2" t="n">
        <v>0.7</v>
      </c>
      <c r="K3" s="2" t="n">
        <v>0.8</v>
      </c>
      <c r="L3" s="2" t="inlineStr">
        <is>
          <t>0.81 (face scaled 0.9 × 0.9)</t>
        </is>
      </c>
      <c r="M3" s="2" t="n">
        <v>31</v>
      </c>
      <c r="N3" s="2" t="n">
        <v>1061</v>
      </c>
      <c r="O3" s="2" t="n">
        <v>11</v>
      </c>
      <c r="P3" s="2" t="n">
        <v>12</v>
      </c>
      <c r="Q3" s="2" t="n">
        <v>611.3</v>
      </c>
      <c r="R3" s="2" t="n">
        <v>1</v>
      </c>
      <c r="S3" s="2" t="n"/>
    </row>
    <row r="4">
      <c r="A4" s="2" t="inlineStr">
        <is>
          <t>windowConstruction_U0.9_SHGC0.67_VT0.58</t>
        </is>
      </c>
      <c r="B4" s="2" t="inlineStr">
        <is>
          <t>Window / glazed door (IfcWindow, IfcDoor)</t>
        </is>
      </c>
      <c r="C4" s="2" t="inlineStr">
        <is>
          <t>WindowMaterial:SimpleGlazingSystem</t>
        </is>
      </c>
      <c r="D4" s="2" t="n">
        <v>0.9</v>
      </c>
      <c r="E4" s="2" t="n">
        <v>0.67</v>
      </c>
      <c r="F4" s="2" t="n">
        <v>0.58</v>
      </c>
      <c r="G4" s="2" t="inlineStr">
        <is>
          <t>Double</t>
        </is>
      </c>
      <c r="H4" s="2" t="n">
        <v>1.1</v>
      </c>
      <c r="I4" s="2" t="inlineStr">
        <is>
          <t>Aluminium</t>
        </is>
      </c>
      <c r="J4" s="2" t="n">
        <v>0.7</v>
      </c>
      <c r="K4" s="2" t="n">
        <v>0.8</v>
      </c>
      <c r="L4" s="2" t="inlineStr">
        <is>
          <t>geometry of the aperture</t>
        </is>
      </c>
      <c r="M4" s="2" t="n">
        <v>0</v>
      </c>
      <c r="N4" s="2" t="n">
        <v>0</v>
      </c>
      <c r="O4" s="2" t="n">
        <v>0</v>
      </c>
      <c r="P4" s="2" t="n">
        <v>2</v>
      </c>
      <c r="Q4" s="2" t="n">
        <v>7.6</v>
      </c>
      <c r="R4" s="2" t="n">
        <v>0</v>
      </c>
      <c r="S4" s="2" t="n"/>
    </row>
    <row r="5" ht="34.9" customHeight="1">
      <c r="A5" s="2" t="inlineStr">
        <is>
          <t>curtainWallWindowConstruction_U0.9_SHGC0.67_VT0.58</t>
        </is>
      </c>
      <c r="B5" s="2" t="inlineStr">
        <is>
          <t>Curtain wall (IfcWall CurtainWall / CurtainWall150)</t>
        </is>
      </c>
      <c r="C5" s="2" t="inlineStr">
        <is>
          <t>WindowMaterial:SimpleGlazingSystem</t>
        </is>
      </c>
      <c r="D5" s="2" t="n">
        <v>0.9</v>
      </c>
      <c r="E5" s="2" t="n">
        <v>0.67</v>
      </c>
      <c r="F5" s="2" t="n">
        <v>0.58</v>
      </c>
      <c r="G5" s="2" t="inlineStr">
        <is>
          <t>Double</t>
        </is>
      </c>
      <c r="H5" s="2" t="n">
        <v>1.1</v>
      </c>
      <c r="I5" s="2" t="inlineStr">
        <is>
          <t>Aluminium</t>
        </is>
      </c>
      <c r="J5" s="2" t="n">
        <v>0.7</v>
      </c>
      <c r="K5" s="2" t="n">
        <v>0.8</v>
      </c>
      <c r="L5" s="2" t="inlineStr">
        <is>
          <t>0.81 (face scaled 0.9 × 0.9)</t>
        </is>
      </c>
      <c r="M5" s="2" t="n">
        <v>23</v>
      </c>
      <c r="N5" s="2" t="n">
        <v>841.5</v>
      </c>
      <c r="O5" s="2" t="n">
        <v>0</v>
      </c>
      <c r="P5" s="2" t="n">
        <v>9</v>
      </c>
      <c r="Q5" s="2" t="n">
        <v>478.8</v>
      </c>
      <c r="R5" s="2" t="n">
        <v>2</v>
      </c>
      <c r="S5" s="2" t="inlineStr">
        <is>
          <t>B09: 23 curtain-wall panels (841.5 m²) have BIM VT 0.58 but kept HB 'Generic Double Pane' in the IDF; reported here with their BIM glazing properties (author decision, table only).</t>
        </is>
      </c>
    </row>
  </sheetData>
  <autoFilter ref="A1:S5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25"/>
  <cols>
    <col width="6" customWidth="1" min="1" max="1"/>
    <col width="8" customWidth="1" min="2" max="2"/>
    <col width="22" customWidth="1" min="3" max="3"/>
    <col width="12" customWidth="1" min="4" max="4"/>
    <col width="30" customWidth="1" min="5" max="5"/>
    <col width="10" customWidth="1" min="6" max="6"/>
    <col width="11" customWidth="1" min="7" max="7"/>
    <col width="30" customWidth="1" min="8" max="8"/>
    <col width="16" customWidth="1" min="9" max="9"/>
    <col width="9" customWidth="1" min="10" max="10"/>
    <col width="26" customWidth="1" min="11" max="11"/>
    <col width="16" customWidth="1" min="12" max="12"/>
    <col width="26" customWidth="1" min="13" max="14"/>
    <col width="30" customWidth="1" min="15" max="15"/>
    <col width="10" customWidth="1" min="16" max="16"/>
    <col width="22" customWidth="1" min="17" max="17"/>
    <col width="24" customWidth="1" min="18" max="18"/>
    <col width="8" customWidth="1" min="19" max="19"/>
    <col width="30" customWidth="1" min="20" max="20"/>
    <col width="26" customWidth="1" min="21" max="24"/>
    <col width="40" customWidth="1" min="25" max="25"/>
  </cols>
  <sheetData>
    <row r="1" ht="26.25" customHeight="1">
      <c r="A1" s="1" t="inlineStr">
        <is>
          <t>ID</t>
        </is>
      </c>
      <c r="B1" s="1" t="inlineStr">
        <is>
          <t>Paper table</t>
        </is>
      </c>
      <c r="C1" s="1" t="inlineStr">
        <is>
          <t>Paper property name</t>
        </is>
      </c>
      <c r="D1" s="1" t="inlineStr">
        <is>
          <t>Topologic entity</t>
        </is>
      </c>
      <c r="E1" s="1" t="inlineStr">
        <is>
          <t>Topologic key</t>
        </is>
      </c>
      <c r="F1" s="1" t="inlineStr">
        <is>
          <t>IFC entity</t>
        </is>
      </c>
      <c r="G1" s="1" t="inlineStr">
        <is>
          <t>IFC pset</t>
        </is>
      </c>
      <c r="H1" s="1" t="inlineStr">
        <is>
          <t>IFC property</t>
        </is>
      </c>
      <c r="I1" s="1" t="inlineStr">
        <is>
          <t>Read by workflow from</t>
        </is>
      </c>
      <c r="J1" s="1" t="inlineStr">
        <is>
          <t>BIM unit</t>
        </is>
      </c>
      <c r="K1" s="1" t="inlineStr">
        <is>
          <t>Cell → zone aggregation</t>
        </is>
      </c>
      <c r="L1" s="1" t="inlineStr">
        <is>
          <t>Honeybee object</t>
        </is>
      </c>
      <c r="M1" s="1" t="inlineStr">
        <is>
          <t>Honeybee attribute</t>
        </is>
      </c>
      <c r="N1" s="1" t="inlineStr">
        <is>
          <t>EnergyPlus object</t>
        </is>
      </c>
      <c r="O1" s="1" t="inlineStr">
        <is>
          <t>EnergyPlus field</t>
        </is>
      </c>
      <c r="P1" s="1" t="inlineStr">
        <is>
          <t>E+ unit</t>
        </is>
      </c>
      <c r="Q1" s="1" t="inlineStr">
        <is>
          <t>Conversion BIM → E+</t>
        </is>
      </c>
      <c r="R1" s="1" t="inlineStr">
        <is>
          <t>Default if missing / 'Undefined'</t>
        </is>
      </c>
      <c r="S1" s="1" t="inlineStr">
        <is>
          <t>In IDF?</t>
        </is>
      </c>
      <c r="T1" s="1" t="inlineStr">
        <is>
          <t>Implementation</t>
        </is>
      </c>
      <c r="U1" s="1" t="inlineStr">
        <is>
          <t>Value B09 (BIM)</t>
        </is>
      </c>
      <c r="V1" s="1" t="inlineStr">
        <is>
          <t>Value B10 (BIM)</t>
        </is>
      </c>
      <c r="W1" s="1" t="inlineStr">
        <is>
          <t>Value in IDF – baseline</t>
        </is>
      </c>
      <c r="X1" s="1" t="inlineStr">
        <is>
          <t>Value in IDF – calibrated</t>
        </is>
      </c>
      <c r="Y1" s="1" t="inlineStr">
        <is>
          <t>Notes</t>
        </is>
      </c>
    </row>
    <row r="2" ht="290.65" customHeight="1">
      <c r="A2" s="2" t="inlineStr">
        <is>
          <t>S01</t>
        </is>
      </c>
      <c r="B2" s="2" t="inlineStr">
        <is>
          <t>T7</t>
        </is>
      </c>
      <c r="C2" s="2" t="inlineStr">
        <is>
          <t>Occupancy Type</t>
        </is>
      </c>
      <c r="D2" s="2" t="inlineStr">
        <is>
          <t>Cell</t>
        </is>
      </c>
      <c r="E2" s="2" t="inlineStr">
        <is>
          <t>pr_OccupancyType</t>
        </is>
      </c>
      <c r="F2" s="2" t="inlineStr">
        <is>
          <t>IfcSpace</t>
        </is>
      </c>
      <c r="G2" s="2" t="inlineStr">
        <is>
          <t>Altro (B09) / Other (B10)</t>
        </is>
      </c>
      <c r="H2" s="2" t="inlineStr">
        <is>
          <t>pr_OccupancyType</t>
        </is>
      </c>
      <c r="I2" s="2" t="inlineStr">
        <is>
          <t>Topologic JSON</t>
        </is>
      </c>
      <c r="J2" s="2" t="inlineStr">
        <is>
          <t>text</t>
        </is>
      </c>
      <c r="K2" s="2" t="inlineStr">
        <is>
          <t>Prevalent: type of the cell with the largest occupant count (density × area)</t>
        </is>
      </c>
      <c r="L2" s="2" t="inlineStr">
        <is>
          <t>Room</t>
        </is>
      </c>
      <c r="M2" s="2" t="inlineStr">
        <is>
          <t>properties.energy.program_type (fixed: honeybee_energy office_program, not mapped)</t>
        </is>
      </c>
      <c r="N2" s="2" t="inlineStr">
        <is>
          <t>People / Lights / ElectricEquipment / ZoneInfiltration:DesignFlowRate</t>
        </is>
      </c>
      <c r="O2" s="2" t="inlineStr">
        <is>
          <t>Name (prefix 'Generic Office …' inherited from HB office program)</t>
        </is>
      </c>
      <c r="P2" s="2" t="inlineStr">
        <is>
          <t>–</t>
        </is>
      </c>
      <c r="Q2" s="2" t="inlineStr">
        <is>
          <t>none</t>
        </is>
      </c>
      <c r="R2" s="2" t="inlineStr">
        <is>
          <t>'StorageSpaces:GeneralStorageSpace' (cell, B09 nb); 'FacilityServiceSpaces:Corridor' if zone type contains 'Default' (B09 nb)</t>
        </is>
      </c>
      <c r="S2" s="13" t="inlineStr">
        <is>
          <t>No</t>
        </is>
      </c>
      <c r="T2" s="2" t="inlineStr">
        <is>
          <t>Utils.TopologicZoneInheritSpaceData (Operation.py:4); TBIM.Cells_ClusterizeIntoEnergyZones</t>
        </is>
      </c>
      <c r="U2" s="2" t="inlineStr">
        <is>
          <t>FacilityServiceSpaces:HorizontalInfrastructure/ServiceSpaceNon-Occupied (×56); EducationandTrainingSpaces:Research/Non-ClassClassLaboratory (×23); EducationandTrainingSpaces:LectureHall(FixedSeats) (×19); FacilityServiceSpaces:UtilityEquipmentRoom (×13); FacilityServiceSpaces:ElevatorShaft (×12); FacilityServiceSpaces:Restroom (×12); FacilityServiceSpaces:Stairway (×9); FacilityServiceSpaces:Corridor (×8); StorageSpaces:GeneralStorageSpace (×1); EducationandTrainingSpaces:StudyRoom (×1); CommerceActivitySpaces:OfficeSpaces (×1)</t>
        </is>
      </c>
      <c r="V2" s="2" t="inlineStr">
        <is>
          <t>FacilityServiceSpaces:Corridor (×8); FacilityServiceSpaces:HorizontalInfrastructure/ServiceSpaceNon-Occupied (×8); FacilityServiceSpaces:Restroom (×7); FacilityServiceSpaces:Stairway (×5); FacilityServiceSpaces:ElevatorShaft (×5); EducationandTrainingSpaces:LectureHall(FixedSeats) (×4); ParkingSpaces:InteriorParkingSpaces (×3); FacilityServiceSpaces:UtilityEquipmentRoom (×3); StorageSpaces:GeneralStorageSpace (×3); ServiceActivitySpaces:SnackBar (×1); EducationandTrainingSpaces:Research/Non-ClassClassLaboratory (×1); ProtectiveSpaces:EntryPorch (×1)</t>
        </is>
      </c>
      <c r="W2" s="2" t="inlineStr">
        <is>
          <t>not written</t>
        </is>
      </c>
      <c r="X2" s="2" t="inlineStr">
        <is>
          <t>not written</t>
        </is>
      </c>
      <c r="Y2" s="2" t="inlineStr">
        <is>
          <t>Used only to build zones: single-cell zones for lecture halls, labs, storage; stairs/elevators merged with adjacent corridor; horizontal infrastructure merged with corridor/stair/restroom.</t>
        </is>
      </c>
    </row>
    <row r="3" ht="23.25" customHeight="1">
      <c r="A3" s="2" t="inlineStr">
        <is>
          <t>S02</t>
        </is>
      </c>
      <c r="B3" s="2" t="inlineStr">
        <is>
          <t>T7</t>
        </is>
      </c>
      <c r="C3" s="2" t="inlineStr">
        <is>
          <t>Is Occupied</t>
        </is>
      </c>
      <c r="D3" s="2" t="inlineStr">
        <is>
          <t>Cell</t>
        </is>
      </c>
      <c r="E3" s="2" t="inlineStr">
        <is>
          <t>pr_IsOccupied</t>
        </is>
      </c>
      <c r="F3" s="2" t="inlineStr">
        <is>
          <t>IfcSpace</t>
        </is>
      </c>
      <c r="G3" s="2" t="inlineStr">
        <is>
          <t>Altro (B09) / Other (B10)</t>
        </is>
      </c>
      <c r="H3" s="2" t="inlineStr">
        <is>
          <t>pr_IsOccupied</t>
        </is>
      </c>
      <c r="I3" s="2" t="inlineStr">
        <is>
          <t>Topologic JSON</t>
        </is>
      </c>
      <c r="J3" s="2" t="inlineStr">
        <is>
          <t>bool (0/1)</t>
        </is>
      </c>
      <c r="K3" s="2" t="inlineStr">
        <is>
          <t>Logical OR</t>
        </is>
      </c>
      <c r="L3" s="2" t="inlineStr">
        <is>
          <t>–</t>
        </is>
      </c>
      <c r="M3" s="2" t="inlineStr">
        <is>
          <t>–</t>
        </is>
      </c>
      <c r="N3" s="2" t="inlineStr">
        <is>
          <t>–</t>
        </is>
      </c>
      <c r="O3" s="2" t="inlineStr">
        <is>
          <t>–</t>
        </is>
      </c>
      <c r="P3" s="2" t="inlineStr">
        <is>
          <t>–</t>
        </is>
      </c>
      <c r="Q3" s="2" t="inlineStr">
        <is>
          <t>none</t>
        </is>
      </c>
      <c r="R3" s="2" t="inlineStr">
        <is>
          <t>0</t>
        </is>
      </c>
      <c r="S3" s="13" t="inlineStr">
        <is>
          <t>No</t>
        </is>
      </c>
      <c r="T3" s="2" t="inlineStr">
        <is>
          <t>TBIM.Cells_ClusterizeIntoEnergyZones (K-Means feature)</t>
        </is>
      </c>
      <c r="U3" s="2" t="inlineStr">
        <is>
          <t>0 / 1</t>
        </is>
      </c>
      <c r="V3" s="2" t="inlineStr">
        <is>
          <t>0 / 1</t>
        </is>
      </c>
      <c r="W3" s="2" t="inlineStr">
        <is>
          <t>–</t>
        </is>
      </c>
      <c r="X3" s="2" t="inlineStr">
        <is>
          <t>–</t>
        </is>
      </c>
      <c r="Y3" s="2" t="inlineStr">
        <is>
          <t>K-Means feature (standardised).</t>
        </is>
      </c>
    </row>
    <row r="4" ht="23.25" customHeight="1">
      <c r="A4" s="2" t="inlineStr">
        <is>
          <t>S03</t>
        </is>
      </c>
      <c r="B4" s="2" t="inlineStr">
        <is>
          <t>T7</t>
        </is>
      </c>
      <c r="C4" s="2" t="inlineStr">
        <is>
          <t>Is Heated</t>
        </is>
      </c>
      <c r="D4" s="2" t="inlineStr">
        <is>
          <t>Cell</t>
        </is>
      </c>
      <c r="E4" s="2" t="inlineStr">
        <is>
          <t>pr_IsHeated</t>
        </is>
      </c>
      <c r="F4" s="2" t="inlineStr">
        <is>
          <t>IfcSpace</t>
        </is>
      </c>
      <c r="G4" s="2" t="inlineStr">
        <is>
          <t>Altro (B09) / Other (B10)</t>
        </is>
      </c>
      <c r="H4" s="2" t="inlineStr">
        <is>
          <t>pr_IsHeated</t>
        </is>
      </c>
      <c r="I4" s="2" t="inlineStr">
        <is>
          <t>Topologic JSON</t>
        </is>
      </c>
      <c r="J4" s="2" t="inlineStr">
        <is>
          <t>bool (0/1)</t>
        </is>
      </c>
      <c r="K4" s="2" t="inlineStr">
        <is>
          <t>Logical OR</t>
        </is>
      </c>
      <c r="L4" s="2" t="inlineStr">
        <is>
          <t>–</t>
        </is>
      </c>
      <c r="M4" s="2" t="inlineStr">
        <is>
          <t>–</t>
        </is>
      </c>
      <c r="N4" s="2" t="inlineStr">
        <is>
          <t>–</t>
        </is>
      </c>
      <c r="O4" s="2" t="inlineStr">
        <is>
          <t>–</t>
        </is>
      </c>
      <c r="P4" s="2" t="inlineStr">
        <is>
          <t>–</t>
        </is>
      </c>
      <c r="Q4" s="2" t="inlineStr">
        <is>
          <t>none</t>
        </is>
      </c>
      <c r="R4" s="2" t="inlineStr">
        <is>
          <t>0</t>
        </is>
      </c>
      <c r="S4" s="13" t="inlineStr">
        <is>
          <t>No</t>
        </is>
      </c>
      <c r="T4" s="2" t="inlineStr">
        <is>
          <t>TBIM.Cells_ClusterizeIntoEnergyZones (K-Means feature)</t>
        </is>
      </c>
      <c r="U4" s="2" t="inlineStr">
        <is>
          <t>0 / 1</t>
        </is>
      </c>
      <c r="V4" s="2" t="inlineStr">
        <is>
          <t>0 / 1</t>
        </is>
      </c>
      <c r="W4" s="2" t="inlineStr">
        <is>
          <t>–</t>
        </is>
      </c>
      <c r="X4" s="2" t="inlineStr">
        <is>
          <t>–</t>
        </is>
      </c>
      <c r="Y4" s="2" t="inlineStr">
        <is>
          <t>Heating availability in E+ comes from rl_IsScheduledBy_Heating (S29), not from this flag.</t>
        </is>
      </c>
    </row>
    <row r="5" ht="23.25" customHeight="1">
      <c r="A5" s="2" t="inlineStr">
        <is>
          <t>S04</t>
        </is>
      </c>
      <c r="B5" s="2" t="inlineStr">
        <is>
          <t>T7</t>
        </is>
      </c>
      <c r="C5" s="2" t="inlineStr">
        <is>
          <t>Is Cooled</t>
        </is>
      </c>
      <c r="D5" s="2" t="inlineStr">
        <is>
          <t>Cell</t>
        </is>
      </c>
      <c r="E5" s="2" t="inlineStr">
        <is>
          <t>pr_IsCooled</t>
        </is>
      </c>
      <c r="F5" s="2" t="inlineStr">
        <is>
          <t>IfcSpace</t>
        </is>
      </c>
      <c r="G5" s="2" t="inlineStr">
        <is>
          <t>Altro (B09) / Other (B10)</t>
        </is>
      </c>
      <c r="H5" s="2" t="inlineStr">
        <is>
          <t>pr_IsCooled</t>
        </is>
      </c>
      <c r="I5" s="2" t="inlineStr">
        <is>
          <t>Topologic JSON</t>
        </is>
      </c>
      <c r="J5" s="2" t="inlineStr">
        <is>
          <t>bool (0/1)</t>
        </is>
      </c>
      <c r="K5" s="2" t="inlineStr">
        <is>
          <t>Logical OR</t>
        </is>
      </c>
      <c r="L5" s="2" t="inlineStr">
        <is>
          <t>–</t>
        </is>
      </c>
      <c r="M5" s="2" t="inlineStr">
        <is>
          <t>–</t>
        </is>
      </c>
      <c r="N5" s="2" t="inlineStr">
        <is>
          <t>–</t>
        </is>
      </c>
      <c r="O5" s="2" t="inlineStr">
        <is>
          <t>–</t>
        </is>
      </c>
      <c r="P5" s="2" t="inlineStr">
        <is>
          <t>–</t>
        </is>
      </c>
      <c r="Q5" s="2" t="inlineStr">
        <is>
          <t>none</t>
        </is>
      </c>
      <c r="R5" s="2" t="inlineStr">
        <is>
          <t>0</t>
        </is>
      </c>
      <c r="S5" s="13" t="inlineStr">
        <is>
          <t>No</t>
        </is>
      </c>
      <c r="T5" s="2" t="inlineStr">
        <is>
          <t>TBIM.Cells_ClusterizeIntoEnergyZones (K-Means feature)</t>
        </is>
      </c>
      <c r="U5" s="2" t="inlineStr">
        <is>
          <t>0 / 1</t>
        </is>
      </c>
      <c r="V5" s="2" t="inlineStr">
        <is>
          <t>0 / 1</t>
        </is>
      </c>
      <c r="W5" s="2" t="inlineStr">
        <is>
          <t>–</t>
        </is>
      </c>
      <c r="X5" s="2" t="inlineStr">
        <is>
          <t>–</t>
        </is>
      </c>
      <c r="Y5" s="2" t="inlineStr">
        <is>
          <t>Cooling availability in E+ comes from rl_IsScheduledBy_Cooling (S30).</t>
        </is>
      </c>
    </row>
    <row r="6" ht="23.25" customHeight="1">
      <c r="A6" s="2" t="inlineStr">
        <is>
          <t>S05</t>
        </is>
      </c>
      <c r="B6" s="2" t="inlineStr">
        <is>
          <t>T7</t>
        </is>
      </c>
      <c r="C6" s="2" t="inlineStr">
        <is>
          <t>Is Mechanically Ventilated</t>
        </is>
      </c>
      <c r="D6" s="2" t="inlineStr">
        <is>
          <t>Cell</t>
        </is>
      </c>
      <c r="E6" s="2" t="inlineStr">
        <is>
          <t>pr_IsMechanicallyVentilated</t>
        </is>
      </c>
      <c r="F6" s="2" t="inlineStr">
        <is>
          <t>IfcSpace</t>
        </is>
      </c>
      <c r="G6" s="2" t="inlineStr">
        <is>
          <t>Altro (B09) / Other (B10)</t>
        </is>
      </c>
      <c r="H6" s="2" t="inlineStr">
        <is>
          <t>pr_IsMechanicallyVentilated</t>
        </is>
      </c>
      <c r="I6" s="2" t="inlineStr">
        <is>
          <t>Topologic JSON</t>
        </is>
      </c>
      <c r="J6" s="2" t="inlineStr">
        <is>
          <t>bool (0/1)</t>
        </is>
      </c>
      <c r="K6" s="2" t="inlineStr">
        <is>
          <t>Logical OR (stored on zone)</t>
        </is>
      </c>
      <c r="L6" s="2" t="inlineStr">
        <is>
          <t>–</t>
        </is>
      </c>
      <c r="M6" s="2" t="inlineStr">
        <is>
          <t>–</t>
        </is>
      </c>
      <c r="N6" s="2" t="inlineStr">
        <is>
          <t>–</t>
        </is>
      </c>
      <c r="O6" s="2" t="inlineStr">
        <is>
          <t>–</t>
        </is>
      </c>
      <c r="P6" s="2" t="inlineStr">
        <is>
          <t>–</t>
        </is>
      </c>
      <c r="Q6" s="2" t="inlineStr">
        <is>
          <t>none</t>
        </is>
      </c>
      <c r="R6" s="2" t="inlineStr">
        <is>
          <t>–</t>
        </is>
      </c>
      <c r="S6" s="13" t="inlineStr">
        <is>
          <t>No</t>
        </is>
      </c>
      <c r="T6" s="2" t="inlineStr">
        <is>
          <t>Utils.TopologicZoneInheritSpaceData (Operation.py:4)</t>
        </is>
      </c>
      <c r="U6" s="2" t="inlineStr">
        <is>
          <t>0 / 1</t>
        </is>
      </c>
      <c r="V6" s="2" t="inlineStr">
        <is>
          <t>0 / 1</t>
        </is>
      </c>
      <c r="W6" s="2" t="inlineStr">
        <is>
          <t>–</t>
        </is>
      </c>
      <c r="X6" s="2" t="inlineStr">
        <is>
          <t>–</t>
        </is>
      </c>
      <c r="Y6" s="2" t="inlineStr">
        <is>
          <t>TBIM also contains a duplicate key 'pr_IsMechanicalVentilated'.</t>
        </is>
      </c>
    </row>
    <row r="7" ht="23.25" customHeight="1">
      <c r="A7" s="2" t="inlineStr">
        <is>
          <t>S06</t>
        </is>
      </c>
      <c r="B7" s="2" t="inlineStr">
        <is>
          <t>T7</t>
        </is>
      </c>
      <c r="C7" s="2" t="inlineStr">
        <is>
          <t>Is Naturally Ventilated</t>
        </is>
      </c>
      <c r="D7" s="2" t="inlineStr">
        <is>
          <t>Cell</t>
        </is>
      </c>
      <c r="E7" s="2" t="inlineStr">
        <is>
          <t>pr_IsNaturallyVentilated</t>
        </is>
      </c>
      <c r="F7" s="2" t="inlineStr">
        <is>
          <t>IfcSpace</t>
        </is>
      </c>
      <c r="G7" s="2" t="inlineStr">
        <is>
          <t>Altro (B09) / Other (B10)</t>
        </is>
      </c>
      <c r="H7" s="2" t="inlineStr">
        <is>
          <t>pr_IsNaturallyVentilated</t>
        </is>
      </c>
      <c r="I7" s="2" t="inlineStr">
        <is>
          <t>not read</t>
        </is>
      </c>
      <c r="J7" s="2" t="inlineStr">
        <is>
          <t>bool (0/1)</t>
        </is>
      </c>
      <c r="K7" s="2" t="inlineStr">
        <is>
          <t>–</t>
        </is>
      </c>
      <c r="L7" s="2" t="inlineStr">
        <is>
          <t>–</t>
        </is>
      </c>
      <c r="M7" s="2" t="inlineStr">
        <is>
          <t>–</t>
        </is>
      </c>
      <c r="N7" s="2" t="inlineStr">
        <is>
          <t>–</t>
        </is>
      </c>
      <c r="O7" s="2" t="inlineStr">
        <is>
          <t>–</t>
        </is>
      </c>
      <c r="P7" s="2" t="inlineStr">
        <is>
          <t>–</t>
        </is>
      </c>
      <c r="Q7" s="2" t="inlineStr">
        <is>
          <t>–</t>
        </is>
      </c>
      <c r="R7" s="2" t="inlineStr">
        <is>
          <t>–</t>
        </is>
      </c>
      <c r="S7" s="13" t="inlineStr">
        <is>
          <t>No</t>
        </is>
      </c>
      <c r="T7" s="2" t="inlineStr">
        <is>
          <t>–</t>
        </is>
      </c>
      <c r="U7" s="2" t="inlineStr">
        <is>
          <t>0</t>
        </is>
      </c>
      <c r="V7" s="2" t="inlineStr">
        <is>
          <t>0 / 1</t>
        </is>
      </c>
      <c r="W7" s="2" t="inlineStr">
        <is>
          <t>–</t>
        </is>
      </c>
      <c r="X7" s="2" t="inlineStr">
        <is>
          <t>–</t>
        </is>
      </c>
      <c r="Y7" s="2" t="inlineStr">
        <is>
          <t>No natural-ventilation object (ZoneVentilation) is generated.</t>
        </is>
      </c>
    </row>
    <row r="8" ht="23.25" customHeight="1">
      <c r="A8" s="2" t="inlineStr">
        <is>
          <t>S07</t>
        </is>
      </c>
      <c r="B8" s="2" t="inlineStr">
        <is>
          <t>T7</t>
        </is>
      </c>
      <c r="C8" s="2" t="inlineStr">
        <is>
          <t>Artificial Lighting</t>
        </is>
      </c>
      <c r="D8" s="2" t="inlineStr">
        <is>
          <t>Cell</t>
        </is>
      </c>
      <c r="E8" s="2" t="inlineStr">
        <is>
          <t>pr_ArtificialLighting</t>
        </is>
      </c>
      <c r="F8" s="2" t="inlineStr">
        <is>
          <t>IfcSpace</t>
        </is>
      </c>
      <c r="G8" s="2" t="inlineStr">
        <is>
          <t>Altro (B09) / Other (B10)</t>
        </is>
      </c>
      <c r="H8" s="2" t="inlineStr">
        <is>
          <t>pr_ArtificialLighting</t>
        </is>
      </c>
      <c r="I8" s="2" t="inlineStr">
        <is>
          <t>not read</t>
        </is>
      </c>
      <c r="J8" s="2" t="inlineStr">
        <is>
          <t>bool (0/1)</t>
        </is>
      </c>
      <c r="K8" s="2" t="inlineStr">
        <is>
          <t>–</t>
        </is>
      </c>
      <c r="L8" s="2" t="inlineStr">
        <is>
          <t>–</t>
        </is>
      </c>
      <c r="M8" s="2" t="inlineStr">
        <is>
          <t>–</t>
        </is>
      </c>
      <c r="N8" s="2" t="inlineStr">
        <is>
          <t>–</t>
        </is>
      </c>
      <c r="O8" s="2" t="inlineStr">
        <is>
          <t>–</t>
        </is>
      </c>
      <c r="P8" s="2" t="inlineStr">
        <is>
          <t>–</t>
        </is>
      </c>
      <c r="Q8" s="2" t="inlineStr">
        <is>
          <t>–</t>
        </is>
      </c>
      <c r="R8" s="2" t="inlineStr">
        <is>
          <t>–</t>
        </is>
      </c>
      <c r="S8" s="13" t="inlineStr">
        <is>
          <t>No</t>
        </is>
      </c>
      <c r="T8" s="2" t="inlineStr">
        <is>
          <t>–</t>
        </is>
      </c>
      <c r="U8" s="2" t="inlineStr">
        <is>
          <t>1</t>
        </is>
      </c>
      <c r="V8" s="2" t="inlineStr">
        <is>
          <t>1</t>
        </is>
      </c>
      <c r="W8" s="2" t="inlineStr">
        <is>
          <t>–</t>
        </is>
      </c>
      <c r="X8" s="2" t="inlineStr">
        <is>
          <t>–</t>
        </is>
      </c>
      <c r="Y8" s="2" t="n"/>
    </row>
    <row r="9" ht="34.9" customHeight="1">
      <c r="A9" s="2" t="inlineStr">
        <is>
          <t>S08</t>
        </is>
      </c>
      <c r="B9" s="2" t="inlineStr">
        <is>
          <t>T7</t>
        </is>
      </c>
      <c r="C9" s="2" t="inlineStr">
        <is>
          <t>Illuminance</t>
        </is>
      </c>
      <c r="D9" s="2" t="inlineStr">
        <is>
          <t>Cell</t>
        </is>
      </c>
      <c r="E9" s="2" t="inlineStr">
        <is>
          <t>pr_Illuminance</t>
        </is>
      </c>
      <c r="F9" s="2" t="inlineStr">
        <is>
          <t>IfcSpace</t>
        </is>
      </c>
      <c r="G9" s="2" t="inlineStr">
        <is>
          <t>Altro (B09) / Other (B10)</t>
        </is>
      </c>
      <c r="H9" s="2" t="inlineStr">
        <is>
          <t>pr_Illuminance</t>
        </is>
      </c>
      <c r="I9" s="2" t="inlineStr">
        <is>
          <t>not read</t>
        </is>
      </c>
      <c r="J9" s="2" t="inlineStr">
        <is>
          <t>lux</t>
        </is>
      </c>
      <c r="K9" s="2" t="inlineStr">
        <is>
          <t>–</t>
        </is>
      </c>
      <c r="L9" s="2" t="inlineStr">
        <is>
          <t>–</t>
        </is>
      </c>
      <c r="M9" s="2" t="inlineStr">
        <is>
          <t>–</t>
        </is>
      </c>
      <c r="N9" s="2" t="inlineStr">
        <is>
          <t>Lights</t>
        </is>
      </c>
      <c r="O9" s="2" t="inlineStr">
        <is>
          <t>Lighting_Level (= Design Level, W) hard-coded 300</t>
        </is>
      </c>
      <c r="P9" s="2" t="inlineStr">
        <is>
          <t>W</t>
        </is>
      </c>
      <c r="Q9" s="2" t="inlineStr">
        <is>
          <t>none</t>
        </is>
      </c>
      <c r="R9" s="2" t="inlineStr">
        <is>
          <t>–</t>
        </is>
      </c>
      <c r="S9" s="13" t="inlineStr">
        <is>
          <t>No</t>
        </is>
      </c>
      <c r="T9" s="2" t="inlineStr">
        <is>
          <t>TopologicCellComplexToIDF (scripts/01_bim_to_bem.py)</t>
        </is>
      </c>
      <c r="U9" s="2" t="inlineStr">
        <is>
          <t>150 / 200 / 300 / 500; Undefined (×12)</t>
        </is>
      </c>
      <c r="V9" s="2" t="inlineStr">
        <is>
          <t>150 / 200 / 300 / 500; Undefined (×7)</t>
        </is>
      </c>
      <c r="W9" s="2" t="inlineStr">
        <is>
          <t>300 written in Lighting_Level but ignored (method = Watts/Area)</t>
        </is>
      </c>
      <c r="X9" s="2" t="inlineStr">
        <is>
          <t>same</t>
        </is>
      </c>
      <c r="Y9" s="2" t="inlineStr">
        <is>
          <t>The 300 is not lux: in E+ 'Lighting Level' is a power in W and is unused when Design Level Calculation Method = Watts/Area.</t>
        </is>
      </c>
    </row>
    <row r="10" ht="46.5" customHeight="1">
      <c r="A10" s="2" t="inlineStr">
        <is>
          <t>S09</t>
        </is>
      </c>
      <c r="B10" s="2" t="inlineStr">
        <is>
          <t>T7</t>
        </is>
      </c>
      <c r="C10" s="2" t="inlineStr">
        <is>
          <t>Lighting Power Density</t>
        </is>
      </c>
      <c r="D10" s="2" t="inlineStr">
        <is>
          <t>Cell</t>
        </is>
      </c>
      <c r="E10" s="2" t="inlineStr">
        <is>
          <t>pr_LightingPowerDensity</t>
        </is>
      </c>
      <c r="F10" s="2" t="inlineStr">
        <is>
          <t>IfcSpace</t>
        </is>
      </c>
      <c r="G10" s="2" t="inlineStr">
        <is>
          <t>Altro (B09) / Other (B10)</t>
        </is>
      </c>
      <c r="H10" s="2" t="inlineStr">
        <is>
          <t>pr_LightingPowerDensity</t>
        </is>
      </c>
      <c r="I10" s="2" t="inlineStr">
        <is>
          <t>Topologic JSON</t>
        </is>
      </c>
      <c r="J10" s="2" t="inlineStr">
        <is>
          <t>W/m²</t>
        </is>
      </c>
      <c r="K10" s="2" t="inlineStr">
        <is>
          <t>Area-weighted mean</t>
        </is>
      </c>
      <c r="L10" s="2" t="inlineStr">
        <is>
          <t>Room → Lighting (from office program, then overwritten in IDF)</t>
        </is>
      </c>
      <c r="M10" s="2" t="inlineStr">
        <is>
          <t>properties.energy.lighting.watts_per_area</t>
        </is>
      </c>
      <c r="N10" s="2" t="inlineStr">
        <is>
          <t>Lights</t>
        </is>
      </c>
      <c r="O10" s="2" t="inlineStr">
        <is>
          <t>Watts_per_Floor_Area (Design Level Calculation Method = Watts/Area)</t>
        </is>
      </c>
      <c r="P10" s="2" t="inlineStr">
        <is>
          <t>W/m²</t>
        </is>
      </c>
      <c r="Q10" s="2" t="inlineStr">
        <is>
          <t>1:1</t>
        </is>
      </c>
      <c r="R10" s="2" t="inlineStr">
        <is>
          <t>0</t>
        </is>
      </c>
      <c r="S10" s="10" t="inlineStr">
        <is>
          <t>Yes</t>
        </is>
      </c>
      <c r="T10" s="2" t="inlineStr">
        <is>
          <t>TopologicCellComplexToIDF (scripts/01_bim_to_bem.py)</t>
        </is>
      </c>
      <c r="U10" s="2" t="inlineStr">
        <is>
          <t>6 / 7</t>
        </is>
      </c>
      <c r="V10" s="2" t="inlineStr">
        <is>
          <t>6</t>
        </is>
      </c>
      <c r="W10" s="2" t="inlineStr">
        <is>
          <t>B09: 0 / 6 / 7 | B10: 6</t>
        </is>
      </c>
      <c r="X10" s="2" t="inlineStr">
        <is>
          <t>B09: 0 / 6 / 7 | B10: 6</t>
        </is>
      </c>
      <c r="Y10" s="2" t="inlineStr">
        <is>
          <t>Return-air 0, radiant 0.7, visible 0.2 (HB office defaults).</t>
        </is>
      </c>
    </row>
    <row r="11" ht="23.25" customHeight="1">
      <c r="A11" s="2" t="inlineStr">
        <is>
          <t>S10</t>
        </is>
      </c>
      <c r="B11" s="2" t="inlineStr">
        <is>
          <t>T7</t>
        </is>
      </c>
      <c r="C11" s="2" t="inlineStr">
        <is>
          <t>Lighting Level</t>
        </is>
      </c>
      <c r="D11" s="2" t="inlineStr">
        <is>
          <t>–</t>
        </is>
      </c>
      <c r="E11" s="2" t="inlineStr">
        <is>
          <t>(not in TBIM)</t>
        </is>
      </c>
      <c r="F11" s="2" t="inlineStr">
        <is>
          <t>–</t>
        </is>
      </c>
      <c r="G11" s="2" t="inlineStr">
        <is>
          <t>–</t>
        </is>
      </c>
      <c r="H11" s="2" t="inlineStr">
        <is>
          <t>–</t>
        </is>
      </c>
      <c r="I11" s="2" t="inlineStr">
        <is>
          <t>–</t>
        </is>
      </c>
      <c r="J11" s="2" t="inlineStr">
        <is>
          <t>W</t>
        </is>
      </c>
      <c r="K11" s="2" t="inlineStr">
        <is>
          <t>–</t>
        </is>
      </c>
      <c r="L11" s="2" t="inlineStr">
        <is>
          <t>–</t>
        </is>
      </c>
      <c r="M11" s="2" t="inlineStr">
        <is>
          <t>–</t>
        </is>
      </c>
      <c r="N11" s="2" t="inlineStr">
        <is>
          <t>Lights</t>
        </is>
      </c>
      <c r="O11" s="2" t="inlineStr">
        <is>
          <t>Design_Level</t>
        </is>
      </c>
      <c r="P11" s="2" t="inlineStr">
        <is>
          <t>W</t>
        </is>
      </c>
      <c r="Q11" s="2" t="inlineStr">
        <is>
          <t>–</t>
        </is>
      </c>
      <c r="R11" s="2" t="inlineStr">
        <is>
          <t>–</t>
        </is>
      </c>
      <c r="S11" s="13" t="inlineStr">
        <is>
          <t>No</t>
        </is>
      </c>
      <c r="T11" s="2" t="inlineStr">
        <is>
          <t>–</t>
        </is>
      </c>
      <c r="U11" s="2" t="inlineStr">
        <is>
          <t>–</t>
        </is>
      </c>
      <c r="V11" s="2" t="inlineStr">
        <is>
          <t>–</t>
        </is>
      </c>
      <c r="W11" s="2" t="inlineStr">
        <is>
          <t>computed internally by E+ (W/m² × floor area)</t>
        </is>
      </c>
      <c r="X11" s="2" t="inlineStr">
        <is>
          <t>same</t>
        </is>
      </c>
      <c r="Y11" s="2" t="inlineStr">
        <is>
          <t>Paper says 'Calculate from Power Density · Area'; this is done by E+, not by the workflow.</t>
        </is>
      </c>
    </row>
    <row r="12" ht="46.5" customHeight="1">
      <c r="A12" s="2" t="inlineStr">
        <is>
          <t>S11</t>
        </is>
      </c>
      <c r="B12" s="2" t="inlineStr">
        <is>
          <t>T7</t>
        </is>
      </c>
      <c r="C12" s="2" t="inlineStr">
        <is>
          <t>Equipment Power Density</t>
        </is>
      </c>
      <c r="D12" s="2" t="inlineStr">
        <is>
          <t>Cell</t>
        </is>
      </c>
      <c r="E12" s="2" t="inlineStr">
        <is>
          <t>pr_EquipmentPowerDensity</t>
        </is>
      </c>
      <c r="F12" s="2" t="inlineStr">
        <is>
          <t>IfcSpace</t>
        </is>
      </c>
      <c r="G12" s="2" t="inlineStr">
        <is>
          <t>Altro (B09) / Other (B10)</t>
        </is>
      </c>
      <c r="H12" s="2" t="inlineStr">
        <is>
          <t>pr_EquipmentPowerDensity</t>
        </is>
      </c>
      <c r="I12" s="2" t="inlineStr">
        <is>
          <t>Topologic JSON</t>
        </is>
      </c>
      <c r="J12" s="2" t="inlineStr">
        <is>
          <t>W/m²</t>
        </is>
      </c>
      <c r="K12" s="2" t="inlineStr">
        <is>
          <t>Area-weighted mean</t>
        </is>
      </c>
      <c r="L12" s="2" t="inlineStr">
        <is>
          <t>Room → ElectricEquipment (office program, overwritten in IDF)</t>
        </is>
      </c>
      <c r="M12" s="2" t="inlineStr">
        <is>
          <t>properties.energy.electric_equipment.watts_per_area</t>
        </is>
      </c>
      <c r="N12" s="2" t="inlineStr">
        <is>
          <t>ElectricEquipment</t>
        </is>
      </c>
      <c r="O12" s="2" t="inlineStr">
        <is>
          <t>Watts_per_Floor_Area (method Watts/Area)</t>
        </is>
      </c>
      <c r="P12" s="2" t="inlineStr">
        <is>
          <t>W/m²</t>
        </is>
      </c>
      <c r="Q12" s="2" t="inlineStr">
        <is>
          <t>1:1</t>
        </is>
      </c>
      <c r="R12" s="2" t="inlineStr">
        <is>
          <t>0 ('Undefined' → 0 in TBIM.Cells_CleanUndefinedData)</t>
        </is>
      </c>
      <c r="S12" s="14" t="inlineStr">
        <is>
          <t>Partial</t>
        </is>
      </c>
      <c r="T12" s="2" t="inlineStr">
        <is>
          <t>TopologicCellComplexToIDF (scripts/01_bim_to_bem.py)</t>
        </is>
      </c>
      <c r="U12" s="2" t="inlineStr">
        <is>
          <t>Undefined</t>
        </is>
      </c>
      <c r="V12" s="2" t="inlineStr">
        <is>
          <t>0; Undefined (×46)</t>
        </is>
      </c>
      <c r="W12" s="2" t="inlineStr">
        <is>
          <t>B09: 0 | B10: 0</t>
        </is>
      </c>
      <c r="X12" s="2" t="inlineStr">
        <is>
          <t>B09: 0 / 2 | B10: 0 / 2 / 10</t>
        </is>
      </c>
      <c r="Y12" s="2" t="inlineStr">
        <is>
          <t>Undefined in the TBIM for every space → 0 W/m² in the baseline; 2 and 10 W/m² were typed manually during calibration.</t>
        </is>
      </c>
    </row>
    <row r="13" ht="34.9" customHeight="1">
      <c r="A13" s="2" t="inlineStr">
        <is>
          <t>S12</t>
        </is>
      </c>
      <c r="B13" s="2" t="inlineStr">
        <is>
          <t>T7</t>
        </is>
      </c>
      <c r="C13" s="2" t="inlineStr">
        <is>
          <t>Occupancy Density Operation</t>
        </is>
      </c>
      <c r="D13" s="2" t="inlineStr">
        <is>
          <t>Cell</t>
        </is>
      </c>
      <c r="E13" s="2" t="inlineStr">
        <is>
          <t>pr_OccupancyDensityOperation</t>
        </is>
      </c>
      <c r="F13" s="2" t="inlineStr">
        <is>
          <t>IfcSpace</t>
        </is>
      </c>
      <c r="G13" s="2" t="inlineStr">
        <is>
          <t>Altro (B09) / Other (B10)</t>
        </is>
      </c>
      <c r="H13" s="2" t="inlineStr">
        <is>
          <t>pr_OccupancyDensityOperation</t>
        </is>
      </c>
      <c r="I13" s="2" t="inlineStr">
        <is>
          <t>Topologic JSON</t>
        </is>
      </c>
      <c r="J13" s="2" t="inlineStr">
        <is>
          <t>pp/m²</t>
        </is>
      </c>
      <c r="K13" s="2" t="inlineStr">
        <is>
          <t>Area-weighted mean</t>
        </is>
      </c>
      <c r="L13" s="2" t="inlineStr">
        <is>
          <t>Room → People (office program, overwritten in IDF)</t>
        </is>
      </c>
      <c r="M13" s="2" t="inlineStr">
        <is>
          <t>properties.energy.people.people_per_area</t>
        </is>
      </c>
      <c r="N13" s="2" t="inlineStr">
        <is>
          <t>People</t>
        </is>
      </c>
      <c r="O13" s="2" t="inlineStr">
        <is>
          <t>People_per_Floor_Area (Number of People Calculation Method = People/Area)</t>
        </is>
      </c>
      <c r="P13" s="2" t="inlineStr">
        <is>
          <t>person/m²</t>
        </is>
      </c>
      <c r="Q13" s="2" t="inlineStr">
        <is>
          <t>1:1</t>
        </is>
      </c>
      <c r="R13" s="2" t="inlineStr">
        <is>
          <t>0</t>
        </is>
      </c>
      <c r="S13" s="10" t="inlineStr">
        <is>
          <t>Yes</t>
        </is>
      </c>
      <c r="T13" s="2" t="inlineStr">
        <is>
          <t>TopologicCellComplexToIDF (scripts/01_bim_to_bem.py)</t>
        </is>
      </c>
      <c r="U13" s="2" t="inlineStr">
        <is>
          <t>0 / 0.12 / 0.3 / 0.6; Undefined (×12)</t>
        </is>
      </c>
      <c r="V13" s="2" t="inlineStr">
        <is>
          <t>0 / 0.3 / 0.6 / 0.8; Undefined (×10)</t>
        </is>
      </c>
      <c r="W13" s="2" t="inlineStr">
        <is>
          <t>B09: 0 / 0.12 / 0.3 / 0.6 | B10: 0 / 0.3 / 0.6 / 0.8</t>
        </is>
      </c>
      <c r="X13" s="2" t="inlineStr">
        <is>
          <t>B09: 0 / 0.12 / 0.3 / 0.6 | B10: 0 / 0.3 / 0.6 / 0.8</t>
        </is>
      </c>
      <c r="Y13" s="2" t="inlineStr">
        <is>
          <t>Activity schedule 'Seated Adult Activity', radiant fraction 0.3 (HB office defaults). Also a K-Means feature.</t>
        </is>
      </c>
    </row>
    <row r="14" ht="23.25" customHeight="1">
      <c r="A14" s="2" t="inlineStr">
        <is>
          <t>S13</t>
        </is>
      </c>
      <c r="B14" s="2" t="inlineStr">
        <is>
          <t>T7</t>
        </is>
      </c>
      <c r="C14" s="2" t="inlineStr">
        <is>
          <t>Occupancy Density Safety</t>
        </is>
      </c>
      <c r="D14" s="2" t="inlineStr">
        <is>
          <t>Cell</t>
        </is>
      </c>
      <c r="E14" s="2" t="inlineStr">
        <is>
          <t>pr_OccupancyDensitySafety</t>
        </is>
      </c>
      <c r="F14" s="2" t="inlineStr">
        <is>
          <t>IfcSpace</t>
        </is>
      </c>
      <c r="G14" s="2" t="inlineStr">
        <is>
          <t>Altro (B09) / Other (B10)</t>
        </is>
      </c>
      <c r="H14" s="2" t="inlineStr">
        <is>
          <t>pr_OccupancyDensitySafety</t>
        </is>
      </c>
      <c r="I14" s="2" t="inlineStr">
        <is>
          <t>Topologic JSON</t>
        </is>
      </c>
      <c r="J14" s="2" t="inlineStr">
        <is>
          <t>pp/m²</t>
        </is>
      </c>
      <c r="K14" s="2" t="inlineStr">
        <is>
          <t>Area-weighted mean (stored on zone)</t>
        </is>
      </c>
      <c r="L14" s="2" t="inlineStr">
        <is>
          <t>–</t>
        </is>
      </c>
      <c r="M14" s="2" t="inlineStr">
        <is>
          <t>–</t>
        </is>
      </c>
      <c r="N14" s="2" t="inlineStr">
        <is>
          <t>–</t>
        </is>
      </c>
      <c r="O14" s="2" t="inlineStr">
        <is>
          <t>–</t>
        </is>
      </c>
      <c r="P14" s="2" t="inlineStr">
        <is>
          <t>–</t>
        </is>
      </c>
      <c r="Q14" s="2" t="inlineStr">
        <is>
          <t>none</t>
        </is>
      </c>
      <c r="R14" s="2" t="inlineStr">
        <is>
          <t>0</t>
        </is>
      </c>
      <c r="S14" s="13" t="inlineStr">
        <is>
          <t>No</t>
        </is>
      </c>
      <c r="T14" s="2" t="inlineStr">
        <is>
          <t>Utils.TopologicZoneInheritSpaceData (Operation.py:4)</t>
        </is>
      </c>
      <c r="U14" s="2" t="inlineStr">
        <is>
          <t>0 / 0.4 / 1.2</t>
        </is>
      </c>
      <c r="V14" s="2" t="inlineStr">
        <is>
          <t>0 / 0.01 / 0.4 / 0.7 / 1.2</t>
        </is>
      </c>
      <c r="W14" s="2" t="inlineStr">
        <is>
          <t>–</t>
        </is>
      </c>
      <c r="X14" s="2" t="inlineStr">
        <is>
          <t>–</t>
        </is>
      </c>
      <c r="Y14" s="2" t="inlineStr">
        <is>
          <t>Fire-safety design density; not an energy input.</t>
        </is>
      </c>
    </row>
    <row r="15" ht="23.25" customHeight="1">
      <c r="A15" s="2" t="inlineStr">
        <is>
          <t>S14</t>
        </is>
      </c>
      <c r="B15" s="2" t="inlineStr">
        <is>
          <t>T7</t>
        </is>
      </c>
      <c r="C15" s="2" t="inlineStr">
        <is>
          <t>Occupancy Number</t>
        </is>
      </c>
      <c r="D15" s="2" t="inlineStr">
        <is>
          <t>Cell</t>
        </is>
      </c>
      <c r="E15" s="2" t="inlineStr">
        <is>
          <t>pr_OccupancyNumber / pr_OccupancyNumberPeak</t>
        </is>
      </c>
      <c r="F15" s="2" t="inlineStr">
        <is>
          <t>IfcSpace</t>
        </is>
      </c>
      <c r="G15" s="2" t="inlineStr">
        <is>
          <t>Altro (B09) / Other (B10)</t>
        </is>
      </c>
      <c r="H15" s="2" t="inlineStr">
        <is>
          <t>pr_OccupancyNumberPeak</t>
        </is>
      </c>
      <c r="I15" s="2" t="inlineStr">
        <is>
          <t>not read</t>
        </is>
      </c>
      <c r="J15" s="2" t="inlineStr">
        <is>
          <t>pp</t>
        </is>
      </c>
      <c r="K15" s="2" t="inlineStr">
        <is>
          <t>–</t>
        </is>
      </c>
      <c r="L15" s="2" t="inlineStr">
        <is>
          <t>–</t>
        </is>
      </c>
      <c r="M15" s="2" t="inlineStr">
        <is>
          <t>–</t>
        </is>
      </c>
      <c r="N15" s="2" t="inlineStr">
        <is>
          <t>–</t>
        </is>
      </c>
      <c r="O15" s="2" t="inlineStr">
        <is>
          <t>–</t>
        </is>
      </c>
      <c r="P15" s="2" t="inlineStr">
        <is>
          <t>–</t>
        </is>
      </c>
      <c r="Q15" s="2" t="inlineStr">
        <is>
          <t>–</t>
        </is>
      </c>
      <c r="R15" s="2" t="inlineStr">
        <is>
          <t>–</t>
        </is>
      </c>
      <c r="S15" s="13" t="inlineStr">
        <is>
          <t>No</t>
        </is>
      </c>
      <c r="T15" s="2" t="inlineStr">
        <is>
          <t>–</t>
        </is>
      </c>
      <c r="U15" s="2" t="inlineStr">
        <is>
          <t>16–158 (10 distinct); None (×122)</t>
        </is>
      </c>
      <c r="V15" s="2" t="inlineStr">
        <is>
          <t>49 / 126 / 162 / 180; None (×45)</t>
        </is>
      </c>
      <c r="W15" s="2" t="inlineStr">
        <is>
          <t>–</t>
        </is>
      </c>
      <c r="X15" s="2" t="inlineStr">
        <is>
          <t>–</t>
        </is>
      </c>
      <c r="Y15" s="2" t="inlineStr">
        <is>
          <t>Present only on some cells. Occupant count in E+ = People/Area × floor area × schedule.</t>
        </is>
      </c>
    </row>
    <row r="16" ht="81.40000000000001" customHeight="1">
      <c r="A16" s="2" t="inlineStr">
        <is>
          <t>S15</t>
        </is>
      </c>
      <c r="B16" s="2" t="inlineStr">
        <is>
          <t>T7</t>
        </is>
      </c>
      <c r="C16" s="2" t="inlineStr">
        <is>
          <t>Mechanical Ventilation Rate</t>
        </is>
      </c>
      <c r="D16" s="2" t="inlineStr">
        <is>
          <t>Cell</t>
        </is>
      </c>
      <c r="E16" s="2" t="inlineStr">
        <is>
          <t>pr_MechanicalVentilationRate</t>
        </is>
      </c>
      <c r="F16" s="2" t="inlineStr">
        <is>
          <t>IfcSpace</t>
        </is>
      </c>
      <c r="G16" s="2" t="inlineStr">
        <is>
          <t>Altro (B09) / Other (B10)</t>
        </is>
      </c>
      <c r="H16" s="2" t="inlineStr">
        <is>
          <t>pr_MechanicalVentilationRate</t>
        </is>
      </c>
      <c r="I16" s="2" t="inlineStr">
        <is>
          <t>Topologic JSON</t>
        </is>
      </c>
      <c r="J16" s="2" t="inlineStr">
        <is>
          <t>h⁻¹ per paper; used as L/s·m² by code</t>
        </is>
      </c>
      <c r="K16" s="2" t="inlineStr">
        <is>
          <t>Code intends volume-weighted mean, but zone value = value of LAST cell iterated (Operation.py:170 writes pr_MechanicalVentilationRate, not pr_ZoneMechanicalVentilationRate)</t>
        </is>
      </c>
      <c r="L16" s="2" t="inlineStr">
        <is>
          <t>Room → Ventilation (office program, overwritten in IDF)</t>
        </is>
      </c>
      <c r="M16" s="2" t="inlineStr">
        <is>
          <t>properties.energy.ventilation.flow_per_area</t>
        </is>
      </c>
      <c r="N16" s="2" t="inlineStr">
        <is>
          <t>DesignSpecification:OutdoorAir</t>
        </is>
      </c>
      <c r="O16" s="2" t="inlineStr">
        <is>
          <t>Outdoor_Air_Flow_per_Zone_Floor_Area (Outdoor Air Method = Maximum)</t>
        </is>
      </c>
      <c r="P16" s="2" t="inlineStr">
        <is>
          <t>m³/s·m²</t>
        </is>
      </c>
      <c r="Q16" s="2" t="inlineStr">
        <is>
          <t>÷ 1000</t>
        </is>
      </c>
      <c r="R16" s="2" t="inlineStr">
        <is>
          <t>0</t>
        </is>
      </c>
      <c r="S16" s="10" t="inlineStr">
        <is>
          <t>Yes</t>
        </is>
      </c>
      <c r="T16" s="2" t="inlineStr">
        <is>
          <t>TopologicCellComplexToIDF (scripts/01_bim_to_bem.py)</t>
        </is>
      </c>
      <c r="U16" s="2" t="inlineStr">
        <is>
          <t>0–1332.16 (60 distinct)</t>
        </is>
      </c>
      <c r="V16" s="2" t="inlineStr">
        <is>
          <t>0–8 (9 distinct); Undefined (×3)</t>
        </is>
      </c>
      <c r="W16" s="2" t="inlineStr">
        <is>
          <t>B09: 0–0.008 (38 distinct) | B10: 0–0.008 (9 distinct)</t>
        </is>
      </c>
      <c r="X16" s="2" t="inlineStr">
        <is>
          <t>B09: 0–0.008 (38 distinct) | B10: 0–0.008 (9 distinct)</t>
        </is>
      </c>
      <c r="Y16" s="2" t="inlineStr">
        <is>
          <t>Stored value is an air-change rate (h⁻¹) = N_peak × 7 L/s·p × 3.6 / V_net, but the code writes it as L/s·m² (see I07). Restrooms: 8 h⁻¹ → 0.008 m³/s·m².</t>
        </is>
      </c>
    </row>
    <row r="17" ht="46.5" customHeight="1">
      <c r="A17" s="2" t="inlineStr">
        <is>
          <t>S16</t>
        </is>
      </c>
      <c r="B17" s="2" t="inlineStr">
        <is>
          <t>T7</t>
        </is>
      </c>
      <c r="C17" s="2" t="inlineStr">
        <is>
          <t>Mechanical Ventilation Rate Per Person</t>
        </is>
      </c>
      <c r="D17" s="2" t="inlineStr">
        <is>
          <t>Cell</t>
        </is>
      </c>
      <c r="E17" s="2" t="inlineStr">
        <is>
          <t>pr_MechanicalVentilationRatePerPerson</t>
        </is>
      </c>
      <c r="F17" s="2" t="inlineStr">
        <is>
          <t>IfcSpace</t>
        </is>
      </c>
      <c r="G17" s="2" t="inlineStr">
        <is>
          <t>Altro (B09) / Other (B10)</t>
        </is>
      </c>
      <c r="H17" s="2" t="inlineStr">
        <is>
          <t>(only in TBIM JSON)</t>
        </is>
      </c>
      <c r="I17" s="2" t="inlineStr">
        <is>
          <t>Topologic JSON</t>
        </is>
      </c>
      <c r="J17" s="2" t="inlineStr">
        <is>
          <t>L/s·person</t>
        </is>
      </c>
      <c r="K17" s="2" t="inlineStr">
        <is>
          <t>Occupant-weighted mean</t>
        </is>
      </c>
      <c r="L17" s="2" t="inlineStr">
        <is>
          <t>Room → Ventilation</t>
        </is>
      </c>
      <c r="M17" s="2" t="inlineStr">
        <is>
          <t>properties.energy.ventilation.flow_per_person</t>
        </is>
      </c>
      <c r="N17" s="2" t="inlineStr">
        <is>
          <t>DesignSpecification:OutdoorAir</t>
        </is>
      </c>
      <c r="O17" s="2" t="inlineStr">
        <is>
          <t>Outdoor_Air_Flow_per_Person</t>
        </is>
      </c>
      <c r="P17" s="2" t="inlineStr">
        <is>
          <t>m³/s·person</t>
        </is>
      </c>
      <c r="Q17" s="2" t="inlineStr">
        <is>
          <t>÷ 1000</t>
        </is>
      </c>
      <c r="R17" s="2" t="inlineStr">
        <is>
          <t>0</t>
        </is>
      </c>
      <c r="S17" s="10" t="inlineStr">
        <is>
          <t>Yes</t>
        </is>
      </c>
      <c r="T17" s="2" t="inlineStr">
        <is>
          <t>TopologicCellComplexToIDF (scripts/01_bim_to_bem.py)</t>
        </is>
      </c>
      <c r="U17" s="2" t="inlineStr">
        <is>
          <t>0 / 7</t>
        </is>
      </c>
      <c r="V17" s="2" t="inlineStr">
        <is>
          <t>0 / 7</t>
        </is>
      </c>
      <c r="W17" s="2" t="inlineStr">
        <is>
          <t>B09: 0 / 0.007 | B10: 0 / 0.007</t>
        </is>
      </c>
      <c r="X17" s="2" t="inlineStr">
        <is>
          <t>B09: 0 / 0.007 | B10: 0 / 0.007</t>
        </is>
      </c>
      <c r="Y17" s="2" t="inlineStr">
        <is>
          <t>Referenced by HVACTemplate:Zone:IdealLoadsAirSystem (Outdoor Air Method = DetailedSpecification). 'Maximum' = max(per-person, per-area), not their sum.</t>
        </is>
      </c>
    </row>
    <row r="18" ht="34.9" customHeight="1">
      <c r="A18" s="2" t="inlineStr">
        <is>
          <t>S17</t>
        </is>
      </c>
      <c r="B18" s="2" t="inlineStr">
        <is>
          <t>T7</t>
        </is>
      </c>
      <c r="C18" s="2" t="inlineStr">
        <is>
          <t>Mechanical Ventilation Rate Per Volume</t>
        </is>
      </c>
      <c r="D18" s="2" t="inlineStr">
        <is>
          <t>Cell</t>
        </is>
      </c>
      <c r="E18" s="2" t="inlineStr">
        <is>
          <t>pr_MechanicalVentilationRatePerVolume</t>
        </is>
      </c>
      <c r="F18" s="2" t="inlineStr">
        <is>
          <t>IfcSpace</t>
        </is>
      </c>
      <c r="G18" s="2" t="inlineStr">
        <is>
          <t>Altro (B09) / Other (B10)</t>
        </is>
      </c>
      <c r="H18" s="2" t="inlineStr">
        <is>
          <t>pr_MechanicalVentilationRatePerVolume</t>
        </is>
      </c>
      <c r="I18" s="2" t="inlineStr">
        <is>
          <t>Topologic JSON</t>
        </is>
      </c>
      <c r="J18" s="2" t="inlineStr">
        <is>
          <t>h⁻¹</t>
        </is>
      </c>
      <c r="K18" s="2" t="inlineStr">
        <is>
          <t>–</t>
        </is>
      </c>
      <c r="L18" s="2" t="inlineStr">
        <is>
          <t>–</t>
        </is>
      </c>
      <c r="M18" s="2" t="inlineStr">
        <is>
          <t>–</t>
        </is>
      </c>
      <c r="N18" s="2" t="inlineStr">
        <is>
          <t>–</t>
        </is>
      </c>
      <c r="O18" s="2" t="inlineStr">
        <is>
          <t>–</t>
        </is>
      </c>
      <c r="P18" s="2" t="inlineStr">
        <is>
          <t>–</t>
        </is>
      </c>
      <c r="Q18" s="2" t="inlineStr">
        <is>
          <t>none</t>
        </is>
      </c>
      <c r="R18" s="2" t="inlineStr">
        <is>
          <t>0</t>
        </is>
      </c>
      <c r="S18" s="13" t="inlineStr">
        <is>
          <t>No</t>
        </is>
      </c>
      <c r="T18" s="2" t="inlineStr">
        <is>
          <t>TBIM.Cells_CleanUndefinedData only</t>
        </is>
      </c>
      <c r="U18" s="2" t="inlineStr">
        <is>
          <t>0 / 1 / 8</t>
        </is>
      </c>
      <c r="V18" s="2" t="inlineStr">
        <is>
          <t>0 / 1 / 8</t>
        </is>
      </c>
      <c r="W18" s="2" t="inlineStr">
        <is>
          <t>–</t>
        </is>
      </c>
      <c r="X18" s="2" t="inlineStr">
        <is>
          <t>–</t>
        </is>
      </c>
      <c r="Y18" s="2" t="inlineStr">
        <is>
          <t>For stairs/elevators/restrooms the same number is also stored in pr_MechanicalVentilationRate, which is what reaches E+.</t>
        </is>
      </c>
    </row>
    <row r="19" ht="34.9" customHeight="1">
      <c r="A19" s="2" t="inlineStr">
        <is>
          <t>S18</t>
        </is>
      </c>
      <c r="B19" s="2" t="inlineStr">
        <is>
          <t>T7</t>
        </is>
      </c>
      <c r="C19" s="2" t="inlineStr">
        <is>
          <t>Natural Ventilation Rate</t>
        </is>
      </c>
      <c r="D19" s="2" t="inlineStr">
        <is>
          <t>–</t>
        </is>
      </c>
      <c r="E19" s="2" t="inlineStr">
        <is>
          <t>(not in TBIM)</t>
        </is>
      </c>
      <c r="F19" s="2" t="inlineStr">
        <is>
          <t>–</t>
        </is>
      </c>
      <c r="G19" s="2" t="inlineStr">
        <is>
          <t>–</t>
        </is>
      </c>
      <c r="H19" s="2" t="inlineStr">
        <is>
          <t>–</t>
        </is>
      </c>
      <c r="I19" s="2" t="inlineStr">
        <is>
          <t>notebook constant</t>
        </is>
      </c>
      <c r="J19" s="2" t="inlineStr">
        <is>
          <t>–</t>
        </is>
      </c>
      <c r="K19" s="2" t="inlineStr">
        <is>
          <t>–</t>
        </is>
      </c>
      <c r="L19" s="2" t="inlineStr">
        <is>
          <t>–</t>
        </is>
      </c>
      <c r="M19" s="2" t="inlineStr">
        <is>
          <t>–</t>
        </is>
      </c>
      <c r="N19" s="2" t="inlineStr">
        <is>
          <t>ZoneInfiltration:DesignFlowRate</t>
        </is>
      </c>
      <c r="O19" s="2" t="inlineStr">
        <is>
          <t>see Map_Model M16</t>
        </is>
      </c>
      <c r="P19" s="2" t="inlineStr">
        <is>
          <t>–</t>
        </is>
      </c>
      <c r="Q19" s="2" t="inlineStr">
        <is>
          <t>–</t>
        </is>
      </c>
      <c r="R19" s="2" t="inlineStr">
        <is>
          <t>–</t>
        </is>
      </c>
      <c r="S19" s="13" t="inlineStr">
        <is>
          <t>No</t>
        </is>
      </c>
      <c r="T19" s="2" t="inlineStr">
        <is>
          <t>–</t>
        </is>
      </c>
      <c r="U19" s="2" t="inlineStr">
        <is>
          <t>–</t>
        </is>
      </c>
      <c r="V19" s="2" t="inlineStr">
        <is>
          <t>–</t>
        </is>
      </c>
      <c r="W19" s="2" t="inlineStr">
        <is>
          <t>–</t>
        </is>
      </c>
      <c r="X19" s="2" t="inlineStr">
        <is>
          <t>–</t>
        </is>
      </c>
      <c r="Y19" s="2" t="inlineStr">
        <is>
          <t>Paper reports 0.30 h⁻¹ 'baseline envelope infiltration'; the model uses 0.0001 m³/s per m² of exterior surface (see M16 / I09).</t>
        </is>
      </c>
    </row>
    <row r="20" ht="46.5" customHeight="1">
      <c r="A20" s="2" t="inlineStr">
        <is>
          <t>S19</t>
        </is>
      </c>
      <c r="B20" s="2" t="inlineStr">
        <is>
          <t>T7</t>
        </is>
      </c>
      <c r="C20" s="2" t="inlineStr">
        <is>
          <t>Space Temperature Summer Max</t>
        </is>
      </c>
      <c r="D20" s="2" t="inlineStr">
        <is>
          <t>Cell</t>
        </is>
      </c>
      <c r="E20" s="2" t="inlineStr">
        <is>
          <t>pr_SpaceTemperatureSummerMax</t>
        </is>
      </c>
      <c r="F20" s="2" t="inlineStr">
        <is>
          <t>IfcSpace</t>
        </is>
      </c>
      <c r="G20" s="2" t="inlineStr">
        <is>
          <t>Altro (B09) / Other (B10)</t>
        </is>
      </c>
      <c r="H20" s="2" t="inlineStr">
        <is>
          <t>pr_SpaceTemperatureSummerMax</t>
        </is>
      </c>
      <c r="I20" s="2" t="inlineStr">
        <is>
          <t>Topologic JSON</t>
        </is>
      </c>
      <c r="J20" s="2" t="inlineStr">
        <is>
          <t>°C</t>
        </is>
      </c>
      <c r="K20" s="2" t="inlineStr">
        <is>
          <t>Minimum over cells (stored on zone)</t>
        </is>
      </c>
      <c r="L20" s="2" t="inlineStr">
        <is>
          <t>Room → Setpoint</t>
        </is>
      </c>
      <c r="M20" s="2" t="inlineStr">
        <is>
          <t>cooling_schedule = ScheduleRuleset.from_constant_value('Generic room Cooling', 26) – NOT from TBIM</t>
        </is>
      </c>
      <c r="N20" s="2" t="inlineStr">
        <is>
          <t>HVACTemplate:Thermostat → Schedule</t>
        </is>
      </c>
      <c r="O20" s="2" t="inlineStr">
        <is>
          <t>Cooling_Setpoint_Schedule_Name = 'Generic room Cooling'</t>
        </is>
      </c>
      <c r="P20" s="2" t="inlineStr">
        <is>
          <t>°C</t>
        </is>
      </c>
      <c r="Q20" s="2" t="inlineStr">
        <is>
          <t>none</t>
        </is>
      </c>
      <c r="R20" s="2" t="inlineStr">
        <is>
          <t>26 (B09 nb) / 30 (TBIM.Cells_CleanUndefinedData)</t>
        </is>
      </c>
      <c r="S20" s="13" t="inlineStr">
        <is>
          <t>No</t>
        </is>
      </c>
      <c r="T20" s="2" t="inlineStr">
        <is>
          <t>HB.HBRoomSetSetpointSchedules (Operation.py:541)</t>
        </is>
      </c>
      <c r="U20" s="2" t="inlineStr">
        <is>
          <t>26; Undefined (×21)</t>
        </is>
      </c>
      <c r="V20" s="2" t="inlineStr">
        <is>
          <t>26; Undefined (×14)</t>
        </is>
      </c>
      <c r="W20" s="2" t="inlineStr">
        <is>
          <t>Schedule:Constant 26 °C (both buildings)</t>
        </is>
      </c>
      <c r="X20" s="2" t="inlineStr">
        <is>
          <t>Schedule:Compact 20 °C (B09) / 22 °C (B10), all day</t>
        </is>
      </c>
      <c r="Y20" s="2" t="inlineStr">
        <is>
          <t>TBIM temperature limits are not transferred; see Issues I04.</t>
        </is>
      </c>
    </row>
    <row r="21" ht="23.25" customHeight="1">
      <c r="A21" s="2" t="inlineStr">
        <is>
          <t>S20</t>
        </is>
      </c>
      <c r="B21" s="2" t="inlineStr">
        <is>
          <t>T7</t>
        </is>
      </c>
      <c r="C21" s="2" t="inlineStr">
        <is>
          <t>Space Temperature Summer Min</t>
        </is>
      </c>
      <c r="D21" s="2" t="inlineStr">
        <is>
          <t>Cell</t>
        </is>
      </c>
      <c r="E21" s="2" t="inlineStr">
        <is>
          <t>pr_SpaceTemperatureSummerMin</t>
        </is>
      </c>
      <c r="F21" s="2" t="inlineStr">
        <is>
          <t>IfcSpace</t>
        </is>
      </c>
      <c r="G21" s="2" t="inlineStr">
        <is>
          <t>Altro (B09) / Other (B10)</t>
        </is>
      </c>
      <c r="H21" s="2" t="inlineStr">
        <is>
          <t>pr_SpaceTemperatureSummerMin</t>
        </is>
      </c>
      <c r="I21" s="2" t="inlineStr">
        <is>
          <t>Topologic JSON</t>
        </is>
      </c>
      <c r="J21" s="2" t="inlineStr">
        <is>
          <t>°C</t>
        </is>
      </c>
      <c r="K21" s="2" t="inlineStr">
        <is>
          <t>Minimum over cells (stored on zone)</t>
        </is>
      </c>
      <c r="L21" s="2" t="inlineStr">
        <is>
          <t>–</t>
        </is>
      </c>
      <c r="M21" s="2" t="inlineStr">
        <is>
          <t>–</t>
        </is>
      </c>
      <c r="N21" s="2" t="inlineStr">
        <is>
          <t>–</t>
        </is>
      </c>
      <c r="O21" s="2" t="inlineStr">
        <is>
          <t>–</t>
        </is>
      </c>
      <c r="P21" s="2" t="inlineStr">
        <is>
          <t>–</t>
        </is>
      </c>
      <c r="Q21" s="2" t="inlineStr">
        <is>
          <t>none</t>
        </is>
      </c>
      <c r="R21" s="2" t="inlineStr">
        <is>
          <t>23 (B09 nb) / 28 (CleanUndefinedData)</t>
        </is>
      </c>
      <c r="S21" s="13" t="inlineStr">
        <is>
          <t>No</t>
        </is>
      </c>
      <c r="T21" s="2" t="inlineStr">
        <is>
          <t>Utils.TopologicZoneInheritSpaceData (Operation.py:4)</t>
        </is>
      </c>
      <c r="U21" s="2" t="inlineStr">
        <is>
          <t>23; Undefined (×21)</t>
        </is>
      </c>
      <c r="V21" s="2" t="inlineStr">
        <is>
          <t>23; Undefined (×14)</t>
        </is>
      </c>
      <c r="W21" s="2" t="inlineStr">
        <is>
          <t>–</t>
        </is>
      </c>
      <c r="X21" s="2" t="inlineStr">
        <is>
          <t>–</t>
        </is>
      </c>
      <c r="Y21" s="2" t="n"/>
    </row>
    <row r="22" ht="23.25" customHeight="1">
      <c r="A22" s="2" t="inlineStr">
        <is>
          <t>S21</t>
        </is>
      </c>
      <c r="B22" s="2" t="inlineStr">
        <is>
          <t>T7</t>
        </is>
      </c>
      <c r="C22" s="2" t="inlineStr">
        <is>
          <t>Space Temperature Winter Max</t>
        </is>
      </c>
      <c r="D22" s="2" t="inlineStr">
        <is>
          <t>Cell</t>
        </is>
      </c>
      <c r="E22" s="2" t="inlineStr">
        <is>
          <t>pr_SpaceTemperatureWinterMax</t>
        </is>
      </c>
      <c r="F22" s="2" t="inlineStr">
        <is>
          <t>IfcSpace</t>
        </is>
      </c>
      <c r="G22" s="2" t="inlineStr">
        <is>
          <t>Altro (B09) / Other (B10)</t>
        </is>
      </c>
      <c r="H22" s="2" t="inlineStr">
        <is>
          <t>pr_SpaceTemperatureWinterMax</t>
        </is>
      </c>
      <c r="I22" s="2" t="inlineStr">
        <is>
          <t>Topologic JSON</t>
        </is>
      </c>
      <c r="J22" s="2" t="inlineStr">
        <is>
          <t>°C</t>
        </is>
      </c>
      <c r="K22" s="2" t="inlineStr">
        <is>
          <t>Maximum over cells (stored on zone)</t>
        </is>
      </c>
      <c r="L22" s="2" t="inlineStr">
        <is>
          <t>–</t>
        </is>
      </c>
      <c r="M22" s="2" t="inlineStr">
        <is>
          <t>–</t>
        </is>
      </c>
      <c r="N22" s="2" t="inlineStr">
        <is>
          <t>–</t>
        </is>
      </c>
      <c r="O22" s="2" t="inlineStr">
        <is>
          <t>–</t>
        </is>
      </c>
      <c r="P22" s="2" t="inlineStr">
        <is>
          <t>–</t>
        </is>
      </c>
      <c r="Q22" s="2" t="inlineStr">
        <is>
          <t>none</t>
        </is>
      </c>
      <c r="R22" s="2" t="inlineStr">
        <is>
          <t>23.5 (B09 nb) / 16 (CleanUndefinedData)</t>
        </is>
      </c>
      <c r="S22" s="13" t="inlineStr">
        <is>
          <t>No</t>
        </is>
      </c>
      <c r="T22" s="2" t="inlineStr">
        <is>
          <t>Utils.TopologicZoneInheritSpaceData (Operation.py:4)</t>
        </is>
      </c>
      <c r="U22" s="2" t="inlineStr">
        <is>
          <t>23.5; Undefined (×21)</t>
        </is>
      </c>
      <c r="V22" s="2" t="inlineStr">
        <is>
          <t>23.5; Undefined (×14)</t>
        </is>
      </c>
      <c r="W22" s="2" t="inlineStr">
        <is>
          <t>–</t>
        </is>
      </c>
      <c r="X22" s="2" t="inlineStr">
        <is>
          <t>–</t>
        </is>
      </c>
      <c r="Y22" s="2" t="n"/>
    </row>
    <row r="23" ht="34.9" customHeight="1">
      <c r="A23" s="2" t="inlineStr">
        <is>
          <t>S22</t>
        </is>
      </c>
      <c r="B23" s="2" t="inlineStr">
        <is>
          <t>T7</t>
        </is>
      </c>
      <c r="C23" s="2" t="inlineStr">
        <is>
          <t>Space Temperature Winter Min</t>
        </is>
      </c>
      <c r="D23" s="2" t="inlineStr">
        <is>
          <t>Cell</t>
        </is>
      </c>
      <c r="E23" s="2" t="inlineStr">
        <is>
          <t>pr_SpaceTemperatureWinterMin</t>
        </is>
      </c>
      <c r="F23" s="2" t="inlineStr">
        <is>
          <t>IfcSpace</t>
        </is>
      </c>
      <c r="G23" s="2" t="inlineStr">
        <is>
          <t>Altro (B09) / Other (B10)</t>
        </is>
      </c>
      <c r="H23" s="2" t="inlineStr">
        <is>
          <t>pr_SpaceTemperatureWinterMin</t>
        </is>
      </c>
      <c r="I23" s="2" t="inlineStr">
        <is>
          <t>Topologic JSON</t>
        </is>
      </c>
      <c r="J23" s="2" t="inlineStr">
        <is>
          <t>°C</t>
        </is>
      </c>
      <c r="K23" s="2" t="inlineStr">
        <is>
          <t>Maximum over cells (stored on zone)</t>
        </is>
      </c>
      <c r="L23" s="2" t="inlineStr">
        <is>
          <t>Room → Setpoint</t>
        </is>
      </c>
      <c r="M23" s="2" t="inlineStr">
        <is>
          <t>heating_schedule = constant 'Generic room Heating' 20 °C – NOT from TBIM</t>
        </is>
      </c>
      <c r="N23" s="2" t="inlineStr">
        <is>
          <t>HVACTemplate:Thermostat → Schedule</t>
        </is>
      </c>
      <c r="O23" s="2" t="inlineStr">
        <is>
          <t>Heating_Setpoint_Schedule_Name = 'Generic room Heating'</t>
        </is>
      </c>
      <c r="P23" s="2" t="inlineStr">
        <is>
          <t>°C</t>
        </is>
      </c>
      <c r="Q23" s="2" t="inlineStr">
        <is>
          <t>none</t>
        </is>
      </c>
      <c r="R23" s="2" t="inlineStr">
        <is>
          <t>18 (B09 nb) / 10 (CleanUndefinedData)</t>
        </is>
      </c>
      <c r="S23" s="13" t="inlineStr">
        <is>
          <t>No</t>
        </is>
      </c>
      <c r="T23" s="2" t="inlineStr">
        <is>
          <t>HB.HBRoomSetSetpointSchedules</t>
        </is>
      </c>
      <c r="U23" s="2" t="inlineStr">
        <is>
          <t>18; Undefined (×21)</t>
        </is>
      </c>
      <c r="V23" s="2" t="inlineStr">
        <is>
          <t>18; Undefined (×14)</t>
        </is>
      </c>
      <c r="W23" s="2" t="inlineStr">
        <is>
          <t>Schedule:Constant 20 °C</t>
        </is>
      </c>
      <c r="X23" s="2" t="inlineStr">
        <is>
          <t>B09: 15 °C (0–7 h) / 18 °C (7–18 h) / 15 °C; B10: 18 / 22 / 18 °C</t>
        </is>
      </c>
      <c r="Y23" s="2" t="inlineStr">
        <is>
          <t>See Issues I04.</t>
        </is>
      </c>
    </row>
    <row r="24" ht="46.5" customHeight="1">
      <c r="A24" s="2" t="inlineStr">
        <is>
          <t>S23</t>
        </is>
      </c>
      <c r="B24" s="2" t="inlineStr">
        <is>
          <t>T7</t>
        </is>
      </c>
      <c r="C24" s="2" t="inlineStr">
        <is>
          <t>Space Humidity Max</t>
        </is>
      </c>
      <c r="D24" s="2" t="inlineStr">
        <is>
          <t>Cell</t>
        </is>
      </c>
      <c r="E24" s="2" t="inlineStr">
        <is>
          <t>pr_HumidityMax</t>
        </is>
      </c>
      <c r="F24" s="2" t="inlineStr">
        <is>
          <t>IfcSpace</t>
        </is>
      </c>
      <c r="G24" s="2" t="inlineStr">
        <is>
          <t>Altro (B09) / Other (B10)</t>
        </is>
      </c>
      <c r="H24" s="2" t="inlineStr">
        <is>
          <t>pr_HumidityMax</t>
        </is>
      </c>
      <c r="I24" s="2" t="inlineStr">
        <is>
          <t>Topologic JSON</t>
        </is>
      </c>
      <c r="J24" s="2" t="inlineStr">
        <is>
          <t>% RH</t>
        </is>
      </c>
      <c r="K24" s="2" t="inlineStr">
        <is>
          <t>Minimum over cells</t>
        </is>
      </c>
      <c r="L24" s="2" t="inlineStr">
        <is>
          <t>Room → IdealAirSystem (add_default_ideal_air)</t>
        </is>
      </c>
      <c r="M24" s="2" t="inlineStr">
        <is>
          <t>– (written after export)</t>
        </is>
      </c>
      <c r="N24" s="2" t="inlineStr">
        <is>
          <t>HVACTemplate:Zone:IdealLoadsAirSystem</t>
        </is>
      </c>
      <c r="O24" s="2" t="inlineStr">
        <is>
          <t>Dehumidification_Setpoint (Dehumidification Control Type = Humidistat)</t>
        </is>
      </c>
      <c r="P24" s="2" t="inlineStr">
        <is>
          <t>% RH</t>
        </is>
      </c>
      <c r="Q24" s="2" t="inlineStr">
        <is>
          <t>1:1</t>
        </is>
      </c>
      <c r="R24" s="2" t="inlineStr">
        <is>
          <t>100 (TBIM.Cells_CleanUndefinedData)</t>
        </is>
      </c>
      <c r="S24" s="10" t="inlineStr">
        <is>
          <t>Yes</t>
        </is>
      </c>
      <c r="T24" s="2" t="inlineStr">
        <is>
          <t>TopologicCellComplexToIDF (scripts/01_bim_to_bem.py)</t>
        </is>
      </c>
      <c r="U24" s="2" t="inlineStr">
        <is>
          <t>70; Undefined (×12)</t>
        </is>
      </c>
      <c r="V24" s="2" t="inlineStr">
        <is>
          <t>70; Undefined (×11)</t>
        </is>
      </c>
      <c r="W24" s="2" t="inlineStr">
        <is>
          <t>B09: 70 / 100 | B10: 70 / 100</t>
        </is>
      </c>
      <c r="X24" s="2" t="inlineStr">
        <is>
          <t>B09: 70 / 100 | B10: 70 / 100</t>
        </is>
      </c>
      <c r="Y24" s="2" t="inlineStr">
        <is>
          <t>HB also writes unused constant schedules 'Generic room Dehumidifying' 60 % / 'Generic room Humidifying' 10 %.</t>
        </is>
      </c>
    </row>
    <row r="25" ht="23.25" customHeight="1">
      <c r="A25" s="2" t="inlineStr">
        <is>
          <t>S24</t>
        </is>
      </c>
      <c r="B25" s="2" t="inlineStr">
        <is>
          <t>T7</t>
        </is>
      </c>
      <c r="C25" s="2" t="inlineStr">
        <is>
          <t>Space Humidity Min</t>
        </is>
      </c>
      <c r="D25" s="2" t="inlineStr">
        <is>
          <t>Cell</t>
        </is>
      </c>
      <c r="E25" s="2" t="inlineStr">
        <is>
          <t>pr_HumidityMin</t>
        </is>
      </c>
      <c r="F25" s="2" t="inlineStr">
        <is>
          <t>IfcSpace</t>
        </is>
      </c>
      <c r="G25" s="2" t="inlineStr">
        <is>
          <t>Altro (B09) / Other (B10)</t>
        </is>
      </c>
      <c r="H25" s="2" t="inlineStr">
        <is>
          <t>pr_HumidityMin</t>
        </is>
      </c>
      <c r="I25" s="2" t="inlineStr">
        <is>
          <t>Topologic JSON</t>
        </is>
      </c>
      <c r="J25" s="2" t="inlineStr">
        <is>
          <t>% RH</t>
        </is>
      </c>
      <c r="K25" s="2" t="inlineStr">
        <is>
          <t>Maximum over cells</t>
        </is>
      </c>
      <c r="L25" s="2" t="inlineStr">
        <is>
          <t>Room → IdealAirSystem</t>
        </is>
      </c>
      <c r="M25" s="2" t="inlineStr">
        <is>
          <t>–</t>
        </is>
      </c>
      <c r="N25" s="2" t="inlineStr">
        <is>
          <t>HVACTemplate:Zone:IdealLoadsAirSystem</t>
        </is>
      </c>
      <c r="O25" s="2" t="inlineStr">
        <is>
          <t>Humidification_Setpoint (Humidification Control Type = Humidistat)</t>
        </is>
      </c>
      <c r="P25" s="2" t="inlineStr">
        <is>
          <t>% RH</t>
        </is>
      </c>
      <c r="Q25" s="2" t="inlineStr">
        <is>
          <t>1:1</t>
        </is>
      </c>
      <c r="R25" s="2" t="inlineStr">
        <is>
          <t>0</t>
        </is>
      </c>
      <c r="S25" s="10" t="inlineStr">
        <is>
          <t>Yes</t>
        </is>
      </c>
      <c r="T25" s="2" t="inlineStr">
        <is>
          <t>TopologicCellComplexToIDF (scripts/01_bim_to_bem.py)</t>
        </is>
      </c>
      <c r="U25" s="2" t="inlineStr">
        <is>
          <t>40; Undefined (×12)</t>
        </is>
      </c>
      <c r="V25" s="2" t="inlineStr">
        <is>
          <t>40; Undefined (×11)</t>
        </is>
      </c>
      <c r="W25" s="2" t="inlineStr">
        <is>
          <t>B09: 0 / 40 | B10: 0 / 40</t>
        </is>
      </c>
      <c r="X25" s="2" t="inlineStr">
        <is>
          <t>B09: 0 / 40 | B10: 0 / 40</t>
        </is>
      </c>
      <c r="Y25" s="2" t="n"/>
    </row>
    <row r="26" ht="23.25" customHeight="1">
      <c r="A26" s="2" t="inlineStr">
        <is>
          <t>S25</t>
        </is>
      </c>
      <c r="B26" s="2" t="inlineStr">
        <is>
          <t>T7</t>
        </is>
      </c>
      <c r="C26" s="2" t="inlineStr">
        <is>
          <t>Space Wind Load Rating</t>
        </is>
      </c>
      <c r="D26" s="2" t="inlineStr">
        <is>
          <t>Cell</t>
        </is>
      </c>
      <c r="E26" s="2" t="inlineStr">
        <is>
          <t>pr_SpaceWindLoadRating</t>
        </is>
      </c>
      <c r="F26" s="2" t="inlineStr">
        <is>
          <t>IfcSpace</t>
        </is>
      </c>
      <c r="G26" s="2" t="inlineStr">
        <is>
          <t>Altro (B09) / Other (B10)</t>
        </is>
      </c>
      <c r="H26" s="2" t="inlineStr">
        <is>
          <t>pr_SpaceWindLoadRating</t>
        </is>
      </c>
      <c r="I26" s="2" t="inlineStr">
        <is>
          <t>not read</t>
        </is>
      </c>
      <c r="J26" s="2" t="inlineStr">
        <is>
          <t>class</t>
        </is>
      </c>
      <c r="K26" s="2" t="inlineStr">
        <is>
          <t>–</t>
        </is>
      </c>
      <c r="L26" s="2" t="inlineStr">
        <is>
          <t>–</t>
        </is>
      </c>
      <c r="M26" s="2" t="inlineStr">
        <is>
          <t>–</t>
        </is>
      </c>
      <c r="N26" s="2" t="inlineStr">
        <is>
          <t>–</t>
        </is>
      </c>
      <c r="O26" s="2" t="inlineStr">
        <is>
          <t>–</t>
        </is>
      </c>
      <c r="P26" s="2" t="inlineStr">
        <is>
          <t>–</t>
        </is>
      </c>
      <c r="Q26" s="2" t="inlineStr">
        <is>
          <t>–</t>
        </is>
      </c>
      <c r="R26" s="2" t="inlineStr">
        <is>
          <t>–</t>
        </is>
      </c>
      <c r="S26" s="13" t="inlineStr">
        <is>
          <t>No</t>
        </is>
      </c>
      <c r="T26" s="2" t="inlineStr">
        <is>
          <t>–</t>
        </is>
      </c>
      <c r="U26" s="2" t="inlineStr">
        <is>
          <t>Undefined (×67); A4 (×59); None (×29)</t>
        </is>
      </c>
      <c r="V26" s="2" t="inlineStr">
        <is>
          <t>Undefined (×33); None (×12); A4 (×4)</t>
        </is>
      </c>
      <c r="W26" s="2" t="inlineStr">
        <is>
          <t>–</t>
        </is>
      </c>
      <c r="X26" s="2" t="inlineStr">
        <is>
          <t>–</t>
        </is>
      </c>
      <c r="Y26" s="2" t="inlineStr">
        <is>
          <t>Paper says 'Eurocode 1 / Class 3'; the model stores window class 'A4' (EN 12210).</t>
        </is>
      </c>
    </row>
    <row r="27" ht="186" customHeight="1">
      <c r="A27" s="2" t="inlineStr">
        <is>
          <t>S26</t>
        </is>
      </c>
      <c r="B27" s="2" t="inlineStr">
        <is>
          <t>– (new)</t>
        </is>
      </c>
      <c r="C27" s="2" t="inlineStr">
        <is>
          <t>Occupancy schedule</t>
        </is>
      </c>
      <c r="D27" s="2" t="inlineStr">
        <is>
          <t>Cell (added by nb)</t>
        </is>
      </c>
      <c r="E27" s="2" t="inlineStr">
        <is>
          <t>rl_IsScheduledBy_Occupancy</t>
        </is>
      </c>
      <c r="F27" s="2" t="inlineStr">
        <is>
          <t>IfcSpace</t>
        </is>
      </c>
      <c r="G27" s="2" t="inlineStr">
        <is>
          <t>Altro (B09) / Other (B10)</t>
        </is>
      </c>
      <c r="H27" s="2" t="inlineStr">
        <is>
          <t>rl_IsScheduledBy_Occupancy</t>
        </is>
      </c>
      <c r="I27" s="2" t="inlineStr">
        <is>
          <t>IFC DesignTransferView</t>
        </is>
      </c>
      <c r="J27" s="2" t="inlineStr">
        <is>
          <t>schedule id</t>
        </is>
      </c>
      <c r="K27" s="2" t="inlineStr">
        <is>
          <t>Value of LAST cell iterated (Operation.py:174 uses rl_IsScheduledBy_*, not rl_ZoneIsScheduledBy_*)</t>
        </is>
      </c>
      <c r="L27" s="2" t="inlineStr">
        <is>
          <t>Room → People</t>
        </is>
      </c>
      <c r="M27" s="2" t="inlineStr">
        <is>
          <t>occupancy_schedule (overwritten in IDF)</t>
        </is>
      </c>
      <c r="N27" s="2" t="inlineStr">
        <is>
          <t>People</t>
        </is>
      </c>
      <c r="O27" s="2" t="inlineStr">
        <is>
          <t>Number_of_People_Schedule_Name</t>
        </is>
      </c>
      <c r="P27" s="2" t="inlineStr">
        <is>
          <t>–</t>
        </is>
      </c>
      <c r="Q27" s="2" t="inlineStr">
        <is>
          <t>id; prefix 'OccSch_'</t>
        </is>
      </c>
      <c r="R27" s="2" t="inlineStr">
        <is>
          <t>'OccSch_Unoccupied'</t>
        </is>
      </c>
      <c r="S27" s="10" t="inlineStr">
        <is>
          <t>Yes</t>
        </is>
      </c>
      <c r="T27" s="2" t="inlineStr">
        <is>
          <t>scripts/01_bim_to_bem.py+ TopologicCellComplexToIDF (scripts/01_bim_to_bem.py)</t>
        </is>
      </c>
      <c r="U27" s="2" t="inlineStr">
        <is>
          <t>None (×71); OccSch_Unoccupied (×67); OccSch_B0.1 (×2); OccSch_B0.7 (×1); OccSch_B0.6 (×1); OccSch_B0.5 (×1); OccSch_B1.3 (×1); OccSch_B0.4 (×1); OccSch_B0.3 (×1); OccSch_B0.2 (×1); OccSch_B1.5 (×1); OccSch_B1.4 (×1); OccSch_B1.2 (×1); OccSch_B1.1 (×1); OccSch_B2.4 (×1); OccSch_B2.3 (×1); OccSch_B2.6 (×1); OccSch_B2.5 (×1); OccSch_B2.2 (×1)</t>
        </is>
      </c>
      <c r="V27" s="2" t="inlineStr">
        <is>
          <t>OccSch_Unoccupied (×31); None (×13); OccSch_A0.1/A0.2 (×2); OccSch_A1.3 (×1); OccSch_A1.2 (×1); OccSch_A1.1 (×1)</t>
        </is>
      </c>
      <c r="W27" s="2" t="inlineStr">
        <is>
          <t>B09: OccSch_Unoccupied (×47); OccSch_B0.1 (×2); OccSch_B0.7 (×1); OccSch_B0.6 (×1); OccSch_B0.5 (×1); OccSch_B1.3 (×1); OccSch_B0.4 (×1); OccSch_B0.3 (×1); OccSch_B0.2 (×1); OccSch_B1.5 (×1); OccSch_B1.4 (×1); OccSch_B1.2 (×1); OccSch_B1.1 (×1); OccSch_B2.3 (×1); OccSch_B2.4 (×1); OccSch_B2.6 (×1); OccSch_B2.5 (×1); OccSch_B2.2 (×1) | B10: OccSch_Unoccupied (×15); OccSch_A0.1/A0.2 (×2); OccSch_A1.3 (×1); OccSch_A1.2 (×1); OccSch_A1.1 (×1)</t>
        </is>
      </c>
      <c r="X27" s="2" t="inlineStr">
        <is>
          <t>B09: OccSch_Unoccupied (×47); OccSch_B0.1 (×2); OccSch_B0.7 (×1); OccSch_B0.6 (×1); OccSch_B0.5 (×1); OccSch_B1.3 (×1); OccSch_B0.4 (×1); OccSch_B0.3 (×1); OccSch_B0.2 (×1); OccSch_B1.5 (×1); OccSch_B1.4 (×1); OccSch_B1.2 (×1); OccSch_B1.1 (×1); OccSch_B2.3 (×1); OccSch_B2.4 (×1); OccSch_B2.6 (×1); OccSch_B2.5 (×1); OccSch_B2.2 (×1) | B10: OccSch_Unoccupied (×15); OccSch_A0.1/A0.2 (×2); OccSch_A1.3 (×1); OccSch_A1.2 (×1); OccSch_A1.1 (×1)</t>
        </is>
      </c>
      <c r="Y27" s="2" t="inlineStr">
        <is>
          <t>Schedules defined in _schedules/Schedules_Occupancy_PoliMi_LC.json (see Val_Schedules).</t>
        </is>
      </c>
    </row>
    <row r="28" ht="409.5" customHeight="1">
      <c r="A28" s="2" t="inlineStr">
        <is>
          <t>S27</t>
        </is>
      </c>
      <c r="B28" s="2" t="inlineStr">
        <is>
          <t>– (new)</t>
        </is>
      </c>
      <c r="C28" s="2" t="inlineStr">
        <is>
          <t>Lighting schedule</t>
        </is>
      </c>
      <c r="D28" s="2" t="inlineStr">
        <is>
          <t>Cell (added by nb)</t>
        </is>
      </c>
      <c r="E28" s="2" t="inlineStr">
        <is>
          <t>rl_IsScheduledBy_Lighting</t>
        </is>
      </c>
      <c r="F28" s="2" t="inlineStr">
        <is>
          <t>IfcSpace</t>
        </is>
      </c>
      <c r="G28" s="2" t="inlineStr">
        <is>
          <t>Altro (B09) / Other (B10)</t>
        </is>
      </c>
      <c r="H28" s="2" t="inlineStr">
        <is>
          <t>rl_IsScheduledBy_Lighting</t>
        </is>
      </c>
      <c r="I28" s="2" t="inlineStr">
        <is>
          <t>IFC DesignTransferView</t>
        </is>
      </c>
      <c r="J28" s="2" t="inlineStr">
        <is>
          <t>schedule id</t>
        </is>
      </c>
      <c r="K28" s="2" t="inlineStr">
        <is>
          <t>Value of last cell iterated</t>
        </is>
      </c>
      <c r="L28" s="2" t="inlineStr">
        <is>
          <t>Room → Lighting</t>
        </is>
      </c>
      <c r="M28" s="2" t="inlineStr">
        <is>
          <t>schedule (overwritten in IDF)</t>
        </is>
      </c>
      <c r="N28" s="2" t="inlineStr">
        <is>
          <t>Lights</t>
        </is>
      </c>
      <c r="O28" s="2" t="inlineStr">
        <is>
          <t>Schedule_Name</t>
        </is>
      </c>
      <c r="P28" s="2" t="inlineStr">
        <is>
          <t>–</t>
        </is>
      </c>
      <c r="Q28" s="2" t="inlineStr">
        <is>
          <t>first token before ';'</t>
        </is>
      </c>
      <c r="R28" s="2" t="inlineStr">
        <is>
          <t>'AlwaysOff' (cell); 'LghSch_Costant' (B09 zone fix)</t>
        </is>
      </c>
      <c r="S28" s="10" t="inlineStr">
        <is>
          <t>Yes</t>
        </is>
      </c>
      <c r="T28" s="2" t="inlineStr">
        <is>
          <t>scripts/01_bim_to_bem.py+ TopologicCellComplexToIDF (scripts/01_bim_to_bem.py)</t>
        </is>
      </c>
      <c r="U28" s="2" t="inlineStr">
        <is>
          <t>None (×71); LghSch_Costant (×53); LghSch_Unoccupied (×14); LghSch_Costant;LghSch_B0.1 (×2); LghSch_Costant;LghSch_B0.7 (×1); LghSch_Costant;LghSch_B0.6 (×1); LghSch_Costant;LghSch_B0.5 (×1); LghSch_Costant;LghSch_B1.3 (×1); LghSch_Costant;LghSch_B0.4 (×1); LghSch_Costant;LghSch_B0.3 (×1); LghSch_Costant;LghSch_B0.2 (×1); LghSch_Costant;LghSch_B1.5 (×1); LghSch_Costant;LghSch_B1.4 (×1); LghSch_Costant;LghSch_B1.2 (×1); LghSch_Costant;LghSch_B1.1 (×1); LghSch_Costant;LghSch_B2.4 (×1); LghSch_Costant;LghSch_B2.3 (×1); LghSch_Costant;LghSch_B2.6 (×1); LghSch_Costant;LghSch_B2.5 (×1); LghSch_Costant;LghSch_B2.2 (×1)</t>
        </is>
      </c>
      <c r="V28" s="2" t="inlineStr">
        <is>
          <t>LghSch_Unoccupied (×16); LghSch_Costant (×15); None (×14); LghSch_A1.3;LghSch_Costant (×1); LghSch_A1.2;LghSch_Costant (×1); LghSch_A1.1;LghSch_Costant (×1); LghSch_A0.1/A0.2;LghSch_Costant (×1)</t>
        </is>
      </c>
      <c r="W28" s="2" t="inlineStr">
        <is>
          <t>B09: LghSch_Costant (×55); AlwaysOff (×9); LghSch_Unoccupied (×1) | B10: LghSch_Costant (×7); AlwaysOff (×5); LghSch_Unoccupied (×4); LghSch_A1.3 (×1); LghSch_A1.2 (×1); LghSch_A1.1 (×1); LghSch_A0.1/A0.2 (×1)</t>
        </is>
      </c>
      <c r="X28" s="2" t="inlineStr">
        <is>
          <t>B09: LghSch_Costant (×55); AlwaysOff (×9); LghSch_Unoccupied (×1) | B10: LghSch_Costant (×7); AlwaysOff (×5); LghSch_Unoccupied (×4); LghSch_A1.3 (×1); LghSch_A1.2 (×1); LghSch_A1.1 (×1); LghSch_A0.1/A0.2 (×1)</t>
        </is>
      </c>
      <c r="Y28" s="2" t="inlineStr">
        <is>
          <t>Multi-valued IFC entries such as 'LghSch_Costant;LghSch_B0.1' keep only the FIRST id. 'LghSch_Costant' = 0 all year in the baseline (see I06).</t>
        </is>
      </c>
    </row>
    <row r="29" ht="409.5" customHeight="1">
      <c r="A29" s="2" t="inlineStr">
        <is>
          <t>S28</t>
        </is>
      </c>
      <c r="B29" s="2" t="inlineStr">
        <is>
          <t>– (new)</t>
        </is>
      </c>
      <c r="C29" s="2" t="inlineStr">
        <is>
          <t>Equipment schedule</t>
        </is>
      </c>
      <c r="D29" s="2" t="inlineStr">
        <is>
          <t>Cell (added by nb)</t>
        </is>
      </c>
      <c r="E29" s="2" t="inlineStr">
        <is>
          <t>rl_IsScheduledBy_Equipment</t>
        </is>
      </c>
      <c r="F29" s="2" t="inlineStr">
        <is>
          <t>IfcSpace</t>
        </is>
      </c>
      <c r="G29" s="2" t="inlineStr">
        <is>
          <t>Altro (B09) / Other (B10)</t>
        </is>
      </c>
      <c r="H29" s="2" t="inlineStr">
        <is>
          <t>rl_IsScheduledBy_Equipment</t>
        </is>
      </c>
      <c r="I29" s="2" t="inlineStr">
        <is>
          <t>IFC DesignTransferView</t>
        </is>
      </c>
      <c r="J29" s="2" t="inlineStr">
        <is>
          <t>schedule id</t>
        </is>
      </c>
      <c r="K29" s="2" t="inlineStr">
        <is>
          <t>Value of last cell iterated</t>
        </is>
      </c>
      <c r="L29" s="2" t="inlineStr">
        <is>
          <t>Room → ElectricEquipment</t>
        </is>
      </c>
      <c r="M29" s="2" t="inlineStr">
        <is>
          <t>schedule (overwritten in IDF)</t>
        </is>
      </c>
      <c r="N29" s="2" t="inlineStr">
        <is>
          <t>ElectricEquipment</t>
        </is>
      </c>
      <c r="O29" s="2" t="inlineStr">
        <is>
          <t>Schedule_Name</t>
        </is>
      </c>
      <c r="P29" s="2" t="inlineStr">
        <is>
          <t>–</t>
        </is>
      </c>
      <c r="Q29" s="2" t="inlineStr">
        <is>
          <t>first token before ';'</t>
        </is>
      </c>
      <c r="R29" s="2" t="inlineStr">
        <is>
          <t>'AlwaysOff' (cell); 'EqpSch_Unoccupied' (B09 zone fix)</t>
        </is>
      </c>
      <c r="S29" s="10" t="inlineStr">
        <is>
          <t>Yes</t>
        </is>
      </c>
      <c r="T29" s="2" t="inlineStr">
        <is>
          <t>scripts/01_bim_to_bem.py+ TopologicCellComplexToIDF (scripts/01_bim_to_bem.py)</t>
        </is>
      </c>
      <c r="U29" s="2" t="inlineStr">
        <is>
          <t>None (×71); EqpSch_Costant (×53); EqpSch_Unoccupied (×14); EqpSch_Costant;EqpSch_B0.1 (×2); EqpSch_Costant;EqpSch_B0.7 (×1); EqpSch_Costant;EqpSch_B0.6 (×1); EqpSch_Costant;EqpSch_B0.5 (×1); EqpSch_Costant;EqpSch_B1.3 (×1); EqpSch_Costant;EqpSch_B0.4 (×1); EqpSch_Costant;EqpSch_B0.3 (×1); EqpSch_Costant;EqpSch_B0.2 (×1); EqpSch_Costant;EqpSch_B1.5 (×1); EqpSch_Costant;EqpSch_B1.4 (×1); EqpSch_Costant;EqpSch_B1.2 (×1); EqpSch_Costant;EqpSch_B1.1 (×1); EqpSch_Costant;EqpSch_B2.4 (×1); EqpSch_Costant;EqpSch_B2.3 (×1); EqpSch_Costant;EqpSch_B2.6 (×1); EqpSch_Costant;EqpSch_B2.5 (×1); EqpSch_Costant;EqpSch_B2.2 (×1)</t>
        </is>
      </c>
      <c r="V29" s="2" t="inlineStr">
        <is>
          <t>EqpSch_Costant (×18); None (×14); EqpSch_Unoccupied (×13); EqpSch_A1.3;EqpSch_Costant (×1); EqpSch_A1.2;EqpSch_Costant (×1); EqpSch_A1.1;EqpSch_Costant (×1); EqpSch_A0.1/A0.2;EqpSch_Costant (×1)</t>
        </is>
      </c>
      <c r="W29" s="2" t="inlineStr">
        <is>
          <t>B09: EqpSch_Costant (×55); AlwaysOff (×9); EqpSch_Unoccupied (×1) | B10: EqpSch_Costant (×6); EqpSch_Unoccupied (×5); AlwaysOff (×5); EqpSch_A1.3 (×1); EqpSch_A1.2 (×1); EqpSch_A1.1 (×1); EqpSch_A0.1/A0.2 (×1)</t>
        </is>
      </c>
      <c r="X29" s="2" t="inlineStr">
        <is>
          <t>B09: EqpSch_Costant (×55); AlwaysOff (×9); EqpSch_Unoccupied (×1) | B10: EqpSch_Costant (×6); EqpSch_Unoccupied (×5); AlwaysOff (×5); EqpSch_A1.3 (×1); EqpSch_A1.2 (×1); EqpSch_A1.1 (×1); EqpSch_A0.1/A0.2 (×1)</t>
        </is>
      </c>
      <c r="Y29" s="2" t="inlineStr">
        <is>
          <t>'EqpSch_Costant' (sic) is a copy of EqpSch_Unoccupied created in the notebook.</t>
        </is>
      </c>
    </row>
    <row r="30" ht="46.5" customHeight="1">
      <c r="A30" s="2" t="inlineStr">
        <is>
          <t>S29</t>
        </is>
      </c>
      <c r="B30" s="2" t="inlineStr">
        <is>
          <t>– (new)</t>
        </is>
      </c>
      <c r="C30" s="2" t="inlineStr">
        <is>
          <t>Heating availability schedule</t>
        </is>
      </c>
      <c r="D30" s="2" t="inlineStr">
        <is>
          <t>Cell (added by nb)</t>
        </is>
      </c>
      <c r="E30" s="2" t="inlineStr">
        <is>
          <t>rl_IsScheduledBy_Heating</t>
        </is>
      </c>
      <c r="F30" s="2" t="inlineStr">
        <is>
          <t>IfcSpace</t>
        </is>
      </c>
      <c r="G30" s="2" t="inlineStr">
        <is>
          <t>Altro (B09) / Other (B10)</t>
        </is>
      </c>
      <c r="H30" s="2" t="inlineStr">
        <is>
          <t>rl_IsScheduledBy_Heating</t>
        </is>
      </c>
      <c r="I30" s="2" t="inlineStr">
        <is>
          <t>IFC DesignTransferView</t>
        </is>
      </c>
      <c r="J30" s="2" t="inlineStr">
        <is>
          <t>schedule id</t>
        </is>
      </c>
      <c r="K30" s="2" t="inlineStr">
        <is>
          <t>Value of last cell iterated</t>
        </is>
      </c>
      <c r="L30" s="2" t="inlineStr">
        <is>
          <t>Room → IdealAirSystem</t>
        </is>
      </c>
      <c r="M30" s="2" t="inlineStr">
        <is>
          <t>–</t>
        </is>
      </c>
      <c r="N30" s="2" t="inlineStr">
        <is>
          <t>HVACTemplate:Zone:IdealLoadsAirSystem</t>
        </is>
      </c>
      <c r="O30" s="2" t="inlineStr">
        <is>
          <t>Heating_Availability_Schedule_Name</t>
        </is>
      </c>
      <c r="P30" s="2" t="inlineStr">
        <is>
          <t>–</t>
        </is>
      </c>
      <c r="Q30" s="2" t="inlineStr">
        <is>
          <t>id; prefix 'HtnSch_'</t>
        </is>
      </c>
      <c r="R30" s="2" t="inlineStr">
        <is>
          <t>'AlwaysOff'</t>
        </is>
      </c>
      <c r="S30" s="10" t="inlineStr">
        <is>
          <t>Yes</t>
        </is>
      </c>
      <c r="T30" s="2" t="inlineStr">
        <is>
          <t>TopologicCellComplexToIDF (scripts/01_bim_to_bem.py)</t>
        </is>
      </c>
      <c r="U30" s="2" t="inlineStr">
        <is>
          <t>None (×81); HtnSch_AHU (×75)</t>
        </is>
      </c>
      <c r="V30" s="2" t="inlineStr">
        <is>
          <t>None (×26); HtnSch_AHU (×23)</t>
        </is>
      </c>
      <c r="W30" s="2" t="inlineStr">
        <is>
          <t>B09: HtnSch_AHU (×52); AlwaysOff (×13) | B10: HtnSch_AHU (×12); AlwaysOff (×8)</t>
        </is>
      </c>
      <c r="X30" s="2" t="inlineStr">
        <is>
          <t>B09: HtnSch_AHU (×52); AlwaysOff (×13) | B10: HtnSch_AHU (×12); AlwaysOff (×8)</t>
        </is>
      </c>
      <c r="Y30" s="2" t="inlineStr">
        <is>
          <t>HtnSch_AHU: 07–18 h all year (baseline); always 1 (calibrated).</t>
        </is>
      </c>
    </row>
    <row r="31" ht="46.5" customHeight="1">
      <c r="A31" s="2" t="inlineStr">
        <is>
          <t>S30</t>
        </is>
      </c>
      <c r="B31" s="2" t="inlineStr">
        <is>
          <t>– (new)</t>
        </is>
      </c>
      <c r="C31" s="2" t="inlineStr">
        <is>
          <t>Cooling availability schedule</t>
        </is>
      </c>
      <c r="D31" s="2" t="inlineStr">
        <is>
          <t>Cell (added by nb)</t>
        </is>
      </c>
      <c r="E31" s="2" t="inlineStr">
        <is>
          <t>rl_IsScheduledBy_Cooling</t>
        </is>
      </c>
      <c r="F31" s="2" t="inlineStr">
        <is>
          <t>IfcSpace</t>
        </is>
      </c>
      <c r="G31" s="2" t="inlineStr">
        <is>
          <t>Altro (B09) / Other (B10)</t>
        </is>
      </c>
      <c r="H31" s="2" t="inlineStr">
        <is>
          <t>rl_IsScheduledBy_Cooling</t>
        </is>
      </c>
      <c r="I31" s="2" t="inlineStr">
        <is>
          <t>IFC DesignTransferView</t>
        </is>
      </c>
      <c r="J31" s="2" t="inlineStr">
        <is>
          <t>schedule id</t>
        </is>
      </c>
      <c r="K31" s="2" t="inlineStr">
        <is>
          <t>Value of last cell iterated</t>
        </is>
      </c>
      <c r="L31" s="2" t="inlineStr">
        <is>
          <t>Room → IdealAirSystem</t>
        </is>
      </c>
      <c r="M31" s="2" t="inlineStr">
        <is>
          <t>–</t>
        </is>
      </c>
      <c r="N31" s="2" t="inlineStr">
        <is>
          <t>HVACTemplate:Zone:IdealLoadsAirSystem</t>
        </is>
      </c>
      <c r="O31" s="2" t="inlineStr">
        <is>
          <t>Cooling_Availability_Schedule_Name</t>
        </is>
      </c>
      <c r="P31" s="2" t="inlineStr">
        <is>
          <t>–</t>
        </is>
      </c>
      <c r="Q31" s="2" t="inlineStr">
        <is>
          <t>id; prefix 'ClnSch_'</t>
        </is>
      </c>
      <c r="R31" s="2" t="inlineStr">
        <is>
          <t>'AlwaysOff'</t>
        </is>
      </c>
      <c r="S31" s="10" t="inlineStr">
        <is>
          <t>Yes</t>
        </is>
      </c>
      <c r="T31" s="2" t="inlineStr">
        <is>
          <t>TopologicCellComplexToIDF (scripts/01_bim_to_bem.py)</t>
        </is>
      </c>
      <c r="U31" s="2" t="inlineStr">
        <is>
          <t>None (×81); ClnSch_AHU (×75)</t>
        </is>
      </c>
      <c r="V31" s="2" t="inlineStr">
        <is>
          <t>None (×26); ClnSch_AHU (×23)</t>
        </is>
      </c>
      <c r="W31" s="2" t="inlineStr">
        <is>
          <t>B09: ClnSch_AHU (×52); AlwaysOff (×13) | B10: ClnSch_AHU (×12); AlwaysOff (×8)</t>
        </is>
      </c>
      <c r="X31" s="2" t="inlineStr">
        <is>
          <t>B09: ClnSch_AHU (×52); AlwaysOff (×13) | B10: ClnSch_AHU (×12); AlwaysOff (×8)</t>
        </is>
      </c>
      <c r="Y31" s="2" t="inlineStr">
        <is>
          <t>ClnSch_AHU: 07–18 h from 16/4 to 14/10 (baseline); always 1 (calibrated).</t>
        </is>
      </c>
    </row>
    <row r="32" ht="34.9" customHeight="1">
      <c r="A32" s="2" t="inlineStr">
        <is>
          <t>S31</t>
        </is>
      </c>
      <c r="B32" s="2" t="inlineStr">
        <is>
          <t>– (new)</t>
        </is>
      </c>
      <c r="C32" s="2" t="inlineStr">
        <is>
          <t>Ventilation (system) availability schedule</t>
        </is>
      </c>
      <c r="D32" s="2" t="inlineStr">
        <is>
          <t>Cell (added by nb)</t>
        </is>
      </c>
      <c r="E32" s="2" t="inlineStr">
        <is>
          <t>rl_IsScheduledBy_Ventilation</t>
        </is>
      </c>
      <c r="F32" s="2" t="inlineStr">
        <is>
          <t>IfcSpace</t>
        </is>
      </c>
      <c r="G32" s="2" t="inlineStr">
        <is>
          <t>Altro (B09) / Other (B10)</t>
        </is>
      </c>
      <c r="H32" s="2" t="inlineStr">
        <is>
          <t>rl_IsScheduledBy_Ventilation</t>
        </is>
      </c>
      <c r="I32" s="2" t="inlineStr">
        <is>
          <t>IFC DesignTransferView</t>
        </is>
      </c>
      <c r="J32" s="2" t="inlineStr">
        <is>
          <t>schedule id</t>
        </is>
      </c>
      <c r="K32" s="2" t="inlineStr">
        <is>
          <t>Value of last cell iterated</t>
        </is>
      </c>
      <c r="L32" s="2" t="inlineStr">
        <is>
          <t>Room → IdealAirSystem</t>
        </is>
      </c>
      <c r="M32" s="2" t="inlineStr">
        <is>
          <t>–</t>
        </is>
      </c>
      <c r="N32" s="2" t="inlineStr">
        <is>
          <t>HVACTemplate:Zone:IdealLoadsAirSystem</t>
        </is>
      </c>
      <c r="O32" s="2" t="inlineStr">
        <is>
          <t>System_Availability_Schedule_Name</t>
        </is>
      </c>
      <c r="P32" s="2" t="inlineStr">
        <is>
          <t>–</t>
        </is>
      </c>
      <c r="Q32" s="2" t="inlineStr">
        <is>
          <t>id; prefix 'VntSch_'</t>
        </is>
      </c>
      <c r="R32" s="2" t="inlineStr">
        <is>
          <t>'AlwaysOff'</t>
        </is>
      </c>
      <c r="S32" s="10" t="inlineStr">
        <is>
          <t>Yes</t>
        </is>
      </c>
      <c r="T32" s="2" t="inlineStr">
        <is>
          <t>TopologicCellComplexToIDF (scripts/01_bim_to_bem.py)</t>
        </is>
      </c>
      <c r="U32" s="2" t="inlineStr">
        <is>
          <t>None (×81); VntSch_AHU (×75)</t>
        </is>
      </c>
      <c r="V32" s="2" t="inlineStr">
        <is>
          <t>None (×26); VntSch_AHU (×23)</t>
        </is>
      </c>
      <c r="W32" s="2" t="inlineStr">
        <is>
          <t>B09: VntSch_AHU (×52); AlwaysOff (×13) | B10: VntSch_AHU (×12); AlwaysOff (×8)</t>
        </is>
      </c>
      <c r="X32" s="2" t="inlineStr">
        <is>
          <t>B09: VntSch_AHU (×52); AlwaysOff (×13) | B10: VntSch_AHU (×12); AlwaysOff (×8)</t>
        </is>
      </c>
      <c r="Y32" s="2" t="inlineStr">
        <is>
          <t>System availability switches the whole ideal-loads system (heating, cooling and outdoor air).</t>
        </is>
      </c>
    </row>
    <row r="33" ht="46.5" customHeight="1">
      <c r="A33" s="2" t="inlineStr">
        <is>
          <t>S32</t>
        </is>
      </c>
      <c r="B33" s="2" t="inlineStr">
        <is>
          <t>– (new)</t>
        </is>
      </c>
      <c r="C33" s="2" t="inlineStr">
        <is>
          <t>Storey</t>
        </is>
      </c>
      <c r="D33" s="2" t="inlineStr">
        <is>
          <t>Cell</t>
        </is>
      </c>
      <c r="E33" s="2" t="inlineStr">
        <is>
          <t>rl_HasLocation_tpBS</t>
        </is>
      </c>
      <c r="F33" s="2" t="inlineStr">
        <is>
          <t>IfcSpace / IfcBuildingStorey</t>
        </is>
      </c>
      <c r="G33" s="2" t="inlineStr">
        <is>
          <t>Altro (B09) / Other (B10)</t>
        </is>
      </c>
      <c r="H33" s="2" t="inlineStr">
        <is>
          <t>rl_HasLocation_tpBS</t>
        </is>
      </c>
      <c r="I33" s="2" t="inlineStr">
        <is>
          <t>Topologic JSON</t>
        </is>
      </c>
      <c r="J33" s="2" t="inlineStr">
        <is>
          <t>id</t>
        </is>
      </c>
      <c r="K33" s="2" t="inlineStr">
        <is>
          <t>Taken from zone dictionary</t>
        </is>
      </c>
      <c r="L33" s="2" t="inlineStr">
        <is>
          <t>Room</t>
        </is>
      </c>
      <c r="M33" s="2" t="inlineStr">
        <is>
          <t>story</t>
        </is>
      </c>
      <c r="N33" s="2" t="inlineStr">
        <is>
          <t>–</t>
        </is>
      </c>
      <c r="O33" s="2" t="inlineStr">
        <is>
          <t>– (HB story is not written to IDF)</t>
        </is>
      </c>
      <c r="P33" s="2" t="inlineStr">
        <is>
          <t>–</t>
        </is>
      </c>
      <c r="Q33" s="2" t="inlineStr">
        <is>
          <t>none</t>
        </is>
      </c>
      <c r="R33" s="2" t="inlineStr">
        <is>
          <t>'noneStorey'</t>
        </is>
      </c>
      <c r="S33" s="13" t="inlineStr">
        <is>
          <t>No</t>
        </is>
      </c>
      <c r="T33" s="2" t="inlineStr">
        <is>
          <t>TopologicCellComplexToIDF</t>
        </is>
      </c>
      <c r="U33" s="2" t="inlineStr">
        <is>
          <t>BuildingStorey_-595cm (×45); BuildingStorey_5cm (×42); BuildingStorey_1029cm (×35); BuildingStorey_517cm (×33)</t>
        </is>
      </c>
      <c r="V33" s="2" t="inlineStr">
        <is>
          <t>BuildingStorey_-595cm (×21); BuildingStorey_5cm (×15); BuildingStorey_517cm (×12); BuildingStorey_1029cm (×1)</t>
        </is>
      </c>
      <c r="W33" s="2" t="inlineStr">
        <is>
          <t>–</t>
        </is>
      </c>
      <c r="X33" s="2" t="inlineStr">
        <is>
          <t>–</t>
        </is>
      </c>
      <c r="Y33" s="2" t="inlineStr">
        <is>
          <t>Also used to build zone ids before renaming (storey-clusterN).</t>
        </is>
      </c>
    </row>
    <row r="34" ht="46.5" customHeight="1">
      <c r="A34" s="2" t="inlineStr">
        <is>
          <t>S33</t>
        </is>
      </c>
      <c r="B34" s="2" t="inlineStr">
        <is>
          <t>– (new)</t>
        </is>
      </c>
      <c r="C34" s="2" t="inlineStr">
        <is>
          <t>Space / zone identifier</t>
        </is>
      </c>
      <c r="D34" s="2" t="inlineStr">
        <is>
          <t>Cell → zone CellComplex</t>
        </is>
      </c>
      <c r="E34" s="2" t="inlineStr">
        <is>
          <t>UID → rl_HasLocation_tpZN</t>
        </is>
      </c>
      <c r="F34" s="2" t="inlineStr">
        <is>
          <t>IfcSpace</t>
        </is>
      </c>
      <c r="G34" s="2" t="inlineStr">
        <is>
          <t>Altro (B09) / Other (B10)</t>
        </is>
      </c>
      <c r="H34" s="2" t="inlineStr">
        <is>
          <t>UID</t>
        </is>
      </c>
      <c r="I34" s="2" t="inlineStr">
        <is>
          <t>Topologic JSON</t>
        </is>
      </c>
      <c r="J34" s="2" t="inlineStr">
        <is>
          <t>id</t>
        </is>
      </c>
      <c r="K34" s="2" t="inlineStr">
        <is>
          <t>Cells grouped by rl_HasLocation_tpZN (K-Means + adjacency rules) → CellComplex.ByCells</t>
        </is>
      </c>
      <c r="L34" s="2" t="inlineStr">
        <is>
          <t>Room</t>
        </is>
      </c>
      <c r="M34" s="2" t="inlineStr">
        <is>
          <t>identifier = zone UID ('zoneNN')</t>
        </is>
      </c>
      <c r="N34" s="2" t="inlineStr">
        <is>
          <t>Zone</t>
        </is>
      </c>
      <c r="O34" s="2" t="inlineStr">
        <is>
          <t>Name</t>
        </is>
      </c>
      <c r="P34" s="2" t="inlineStr">
        <is>
          <t>–</t>
        </is>
      </c>
      <c r="Q34" s="2" t="inlineStr">
        <is>
          <t>none</t>
        </is>
      </c>
      <c r="R34" s="2" t="inlineStr">
        <is>
          <t>'debugZoneN' for unassigned cells (B09 nb)</t>
        </is>
      </c>
      <c r="S34" s="10" t="inlineStr">
        <is>
          <t>Yes</t>
        </is>
      </c>
      <c r="T34" s="2" t="inlineStr">
        <is>
          <t>TBIM.EnergyZones; HBRoom(tpZoneUID, faces, 0.01, 1)</t>
        </is>
      </c>
      <c r="U34" s="2" t="inlineStr">
        <is>
          <t>155 cells</t>
        </is>
      </c>
      <c r="V34" s="2" t="inlineStr">
        <is>
          <t>49 cells</t>
        </is>
      </c>
      <c r="W34" s="2" t="inlineStr">
        <is>
          <t>B09: 65 zones | B10: 20 zones</t>
        </is>
      </c>
      <c r="X34" s="2" t="inlineStr">
        <is>
          <t>same</t>
        </is>
      </c>
      <c r="Y34" s="2" t="n"/>
    </row>
    <row r="35" ht="34.9" customHeight="1">
      <c r="A35" s="2" t="inlineStr">
        <is>
          <t>S34</t>
        </is>
      </c>
      <c r="B35" s="2" t="inlineStr">
        <is>
          <t>– (new)</t>
        </is>
      </c>
      <c r="C35" s="2" t="inlineStr">
        <is>
          <t>Area / volume</t>
        </is>
      </c>
      <c r="D35" s="2" t="inlineStr">
        <is>
          <t>Cell</t>
        </is>
      </c>
      <c r="E35" s="2" t="inlineStr">
        <is>
          <t>pr_GrossArea, pr_NetVolume … (stored) / Cell.Area(), Cell.Volume() (computed)</t>
        </is>
      </c>
      <c r="F35" s="2" t="inlineStr">
        <is>
          <t>IfcSpace</t>
        </is>
      </c>
      <c r="G35" s="2" t="inlineStr">
        <is>
          <t>Qto_SpaceBaseQuantities</t>
        </is>
      </c>
      <c r="H35" s="2" t="inlineStr">
        <is>
          <t>GrossFloorArea, NetVolume</t>
        </is>
      </c>
      <c r="I35" s="2" t="inlineStr">
        <is>
          <t>Topologic geometry</t>
        </is>
      </c>
      <c r="J35" s="2" t="inlineStr">
        <is>
          <t>cm² / cm³</t>
        </is>
      </c>
      <c r="K35" s="2" t="inlineStr">
        <is>
          <t>Used as weights for aggregations</t>
        </is>
      </c>
      <c r="L35" s="2" t="inlineStr">
        <is>
          <t>Room</t>
        </is>
      </c>
      <c r="M35" s="2" t="inlineStr">
        <is>
          <t>floor_area / volume (from geometry)</t>
        </is>
      </c>
      <c r="N35" s="2" t="inlineStr">
        <is>
          <t>Zone</t>
        </is>
      </c>
      <c r="O35" s="2" t="inlineStr">
        <is>
          <t>Floor_Area / Volume = autocalculate</t>
        </is>
      </c>
      <c r="P35" s="2" t="inlineStr">
        <is>
          <t>m² / m³</t>
        </is>
      </c>
      <c r="Q35" s="2" t="inlineStr">
        <is>
          <t>from geometry</t>
        </is>
      </c>
      <c r="R35" s="2" t="inlineStr">
        <is>
          <t>–</t>
        </is>
      </c>
      <c r="S35" s="14" t="inlineStr">
        <is>
          <t>Partial</t>
        </is>
      </c>
      <c r="T35" s="2" t="inlineStr">
        <is>
          <t>Utils.TopologicZoneInheritSpaceData (Operation.py:4)</t>
        </is>
      </c>
      <c r="U35" s="2" t="inlineStr">
        <is>
          <t>–</t>
        </is>
      </c>
      <c r="V35" s="2" t="inlineStr">
        <is>
          <t>–</t>
        </is>
      </c>
      <c r="W35" s="2" t="inlineStr">
        <is>
          <t>autocalculated by E+</t>
        </is>
      </c>
      <c r="X35" s="2" t="inlineStr">
        <is>
          <t>same</t>
        </is>
      </c>
      <c r="Y35" s="2" t="inlineStr">
        <is>
          <t>Stored BIM quantities are not used; E+ recomputes from surfaces.</t>
        </is>
      </c>
    </row>
  </sheetData>
  <autoFilter ref="A1:Y3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25"/>
  <cols>
    <col width="6" customWidth="1" min="1" max="1"/>
    <col width="8" customWidth="1" min="2" max="2"/>
    <col width="22" customWidth="1" min="3" max="3"/>
    <col width="12" customWidth="1" min="4" max="4"/>
    <col width="30" customWidth="1" min="5" max="5"/>
    <col width="10" customWidth="1" min="6" max="6"/>
    <col width="11" customWidth="1" min="7" max="7"/>
    <col width="30" customWidth="1" min="8" max="8"/>
    <col width="16" customWidth="1" min="9" max="9"/>
    <col width="9" customWidth="1" min="10" max="10"/>
    <col width="26" customWidth="1" min="11" max="11"/>
    <col width="16" customWidth="1" min="12" max="12"/>
    <col width="26" customWidth="1" min="13" max="14"/>
    <col width="30" customWidth="1" min="15" max="15"/>
    <col width="10" customWidth="1" min="16" max="16"/>
    <col width="22" customWidth="1" min="17" max="17"/>
    <col width="24" customWidth="1" min="18" max="18"/>
    <col width="8" customWidth="1" min="19" max="19"/>
    <col width="30" customWidth="1" min="20" max="20"/>
    <col width="26" customWidth="1" min="21" max="24"/>
    <col width="40" customWidth="1" min="25" max="25"/>
  </cols>
  <sheetData>
    <row r="1" ht="26.25" customHeight="1">
      <c r="A1" s="1" t="inlineStr">
        <is>
          <t>ID</t>
        </is>
      </c>
      <c r="B1" s="1" t="inlineStr">
        <is>
          <t>Paper table</t>
        </is>
      </c>
      <c r="C1" s="1" t="inlineStr">
        <is>
          <t>Paper property name</t>
        </is>
      </c>
      <c r="D1" s="1" t="inlineStr">
        <is>
          <t>Topologic entity</t>
        </is>
      </c>
      <c r="E1" s="1" t="inlineStr">
        <is>
          <t>Topologic key</t>
        </is>
      </c>
      <c r="F1" s="1" t="inlineStr">
        <is>
          <t>IFC entity</t>
        </is>
      </c>
      <c r="G1" s="1" t="inlineStr">
        <is>
          <t>IFC pset</t>
        </is>
      </c>
      <c r="H1" s="1" t="inlineStr">
        <is>
          <t>IFC property</t>
        </is>
      </c>
      <c r="I1" s="1" t="inlineStr">
        <is>
          <t>Read by workflow from</t>
        </is>
      </c>
      <c r="J1" s="1" t="inlineStr">
        <is>
          <t>BIM unit</t>
        </is>
      </c>
      <c r="K1" s="1" t="inlineStr">
        <is>
          <t>Cell → zone aggregation</t>
        </is>
      </c>
      <c r="L1" s="1" t="inlineStr">
        <is>
          <t>Honeybee object</t>
        </is>
      </c>
      <c r="M1" s="1" t="inlineStr">
        <is>
          <t>Honeybee attribute</t>
        </is>
      </c>
      <c r="N1" s="1" t="inlineStr">
        <is>
          <t>EnergyPlus object</t>
        </is>
      </c>
      <c r="O1" s="1" t="inlineStr">
        <is>
          <t>EnergyPlus field</t>
        </is>
      </c>
      <c r="P1" s="1" t="inlineStr">
        <is>
          <t>E+ unit</t>
        </is>
      </c>
      <c r="Q1" s="1" t="inlineStr">
        <is>
          <t>Conversion BIM → E+</t>
        </is>
      </c>
      <c r="R1" s="1" t="inlineStr">
        <is>
          <t>Default if missing / 'Undefined'</t>
        </is>
      </c>
      <c r="S1" s="1" t="inlineStr">
        <is>
          <t>In IDF?</t>
        </is>
      </c>
      <c r="T1" s="1" t="inlineStr">
        <is>
          <t>Implementation</t>
        </is>
      </c>
      <c r="U1" s="1" t="inlineStr">
        <is>
          <t>Value B09 (BIM)</t>
        </is>
      </c>
      <c r="V1" s="1" t="inlineStr">
        <is>
          <t>Value B10 (BIM)</t>
        </is>
      </c>
      <c r="W1" s="1" t="inlineStr">
        <is>
          <t>Value in IDF – baseline</t>
        </is>
      </c>
      <c r="X1" s="1" t="inlineStr">
        <is>
          <t>Value in IDF – calibrated</t>
        </is>
      </c>
      <c r="Y1" s="1" t="inlineStr">
        <is>
          <t>Notes</t>
        </is>
      </c>
    </row>
    <row r="2" ht="46.5" customHeight="1">
      <c r="A2" s="2" t="inlineStr">
        <is>
          <t>E01</t>
        </is>
      </c>
      <c r="B2" s="2" t="inlineStr">
        <is>
          <t>T8</t>
        </is>
      </c>
      <c r="C2" s="2" t="inlineStr">
        <is>
          <t>– (surface classification)</t>
        </is>
      </c>
      <c r="D2" s="2" t="inlineStr">
        <is>
          <t>Face</t>
        </is>
      </c>
      <c r="E2" s="2" t="inlineStr">
        <is>
          <t>pr_TopologicalType (extVer / intVer / topHor / botHor / intHor)</t>
        </is>
      </c>
      <c r="F2" s="2" t="inlineStr">
        <is>
          <t>– (derived)</t>
        </is>
      </c>
      <c r="G2" s="2" t="inlineStr">
        <is>
          <t>–</t>
        </is>
      </c>
      <c r="H2" s="2" t="inlineStr">
        <is>
          <t>–</t>
        </is>
      </c>
      <c r="I2" s="2" t="inlineStr">
        <is>
          <t>Topologic JSON (set from CellComplex.Decompose if missing)</t>
        </is>
      </c>
      <c r="J2" s="2" t="inlineStr">
        <is>
          <t>text</t>
        </is>
      </c>
      <c r="K2" s="2" t="inlineStr">
        <is>
          <t>–</t>
        </is>
      </c>
      <c r="L2" s="2" t="inlineStr">
        <is>
          <t>Face</t>
        </is>
      </c>
      <c r="M2" s="2" t="inlineStr">
        <is>
          <t>type: 'VER'→Wall, 'HOR'→Floor, 'TOP'→RoofCeiling</t>
        </is>
      </c>
      <c r="N2" s="2" t="inlineStr">
        <is>
          <t>BuildingSurface:Detailed</t>
        </is>
      </c>
      <c r="O2" s="2" t="inlineStr">
        <is>
          <t>Surface_Type (Wall / Floor / Roof / Ceiling)</t>
        </is>
      </c>
      <c r="P2" s="2" t="inlineStr">
        <is>
          <t>–</t>
        </is>
      </c>
      <c r="Q2" s="2" t="inlineStr">
        <is>
          <t>keyword</t>
        </is>
      </c>
      <c r="R2" s="2" t="inlineStr">
        <is>
          <t>set by CellComplex.Decompose</t>
        </is>
      </c>
      <c r="S2" s="10" t="inlineStr">
        <is>
          <t>Yes</t>
        </is>
      </c>
      <c r="T2" s="2" t="inlineStr">
        <is>
          <t>HB.HBFacesByTopologicZone (Operation.py:999)</t>
        </is>
      </c>
      <c r="U2" s="2" t="inlineStr">
        <is>
          <t>see Val_Constructions</t>
        </is>
      </c>
      <c r="V2" s="2" t="inlineStr">
        <is>
          <t>see Val_Constructions</t>
        </is>
      </c>
      <c r="W2" s="2" t="inlineStr">
        <is>
          <t>Wall / Floor / Roof / Ceiling</t>
        </is>
      </c>
      <c r="X2" s="2" t="inlineStr">
        <is>
          <t>same</t>
        </is>
      </c>
      <c r="Y2" s="2" t="inlineStr">
        <is>
          <t>Interior HB Floor/RoofCeiling pairs become Floor/Ceiling after solve_adjacency.</t>
        </is>
      </c>
    </row>
    <row r="3" ht="81.40000000000001" customHeight="1">
      <c r="A3" s="2" t="inlineStr">
        <is>
          <t>E02</t>
        </is>
      </c>
      <c r="B3" s="2" t="inlineStr">
        <is>
          <t>T8</t>
        </is>
      </c>
      <c r="C3" s="2" t="inlineStr">
        <is>
          <t>Construction Name</t>
        </is>
      </c>
      <c r="D3" s="2" t="inlineStr">
        <is>
          <t>Face</t>
        </is>
      </c>
      <c r="E3" s="2" t="inlineStr">
        <is>
          <t>pr_WallTypeName (extVer, intVer) / pr_RoofTypeName (topHor) / pr_FloorTypeName (botHor, intHor) → HBConstructionName</t>
        </is>
      </c>
      <c r="F3" s="2" t="inlineStr">
        <is>
          <t>IfcWallType / IfcSlabType / IfcRoofType</t>
        </is>
      </c>
      <c r="G3" s="2" t="inlineStr">
        <is>
          <t>–</t>
        </is>
      </c>
      <c r="H3" s="2" t="inlineStr">
        <is>
          <t>Name ('Family:Type'; part after ':')</t>
        </is>
      </c>
      <c r="I3" s="2" t="inlineStr">
        <is>
          <t>Topologic JSON + IFC DesignTransferView</t>
        </is>
      </c>
      <c r="J3" s="2" t="inlineStr">
        <is>
          <t>text</t>
        </is>
      </c>
      <c r="K3" s="2" t="inlineStr">
        <is>
          <t>–</t>
        </is>
      </c>
      <c r="L3" s="2" t="inlineStr">
        <is>
          <t>OpaqueConstruction</t>
        </is>
      </c>
      <c r="M3" s="2" t="inlineStr">
        <is>
          <t>identifier / display_name</t>
        </is>
      </c>
      <c r="N3" s="2" t="inlineStr">
        <is>
          <t>BuildingSurface:Detailed</t>
        </is>
      </c>
      <c r="O3" s="2" t="inlineStr">
        <is>
          <t>Construction_Name</t>
        </is>
      </c>
      <c r="P3" s="2" t="inlineStr">
        <is>
          <t>–</t>
        </is>
      </c>
      <c r="Q3" s="2" t="inlineStr">
        <is>
          <t>match by name; only if name ∈ HB opaque constructions</t>
        </is>
      </c>
      <c r="R3" s="2" t="inlineStr">
        <is>
          <t>HB default ('Generic Interior Wall', 'Generic Interior Floor', 'Generic Ground Slab'); 'Generic Exterior Wall' → WL_POLIMI-LC_EW02; 'Generic Roof' → RF_POLIMI-LC_IH-E</t>
        </is>
      </c>
      <c r="S3" s="10" t="inlineStr">
        <is>
          <t>Yes</t>
        </is>
      </c>
      <c r="T3" s="2" t="inlineStr">
        <is>
          <t>TBIM.Faces_SetHBConstructionName; Eppy.IdfSetFaceConstructions</t>
        </is>
      </c>
      <c r="U3" s="2" t="inlineStr">
        <is>
          <t>see Val_Constructions</t>
        </is>
      </c>
      <c r="V3" s="2" t="inlineStr">
        <is>
          <t>see Val_Constructions</t>
        </is>
      </c>
      <c r="W3" s="2" t="inlineStr">
        <is>
          <t>see Val_Constructions</t>
        </is>
      </c>
      <c r="X3" s="2" t="inlineStr">
        <is>
          <t>same</t>
        </is>
      </c>
      <c r="Y3" s="2" t="inlineStr">
        <is>
          <t>Construction names are re-assigned with Eppy after the HB→IDF export.</t>
        </is>
      </c>
    </row>
    <row r="4" ht="34.9" customHeight="1">
      <c r="A4" s="2" t="inlineStr">
        <is>
          <t>E03</t>
        </is>
      </c>
      <c r="B4" s="2" t="inlineStr">
        <is>
          <t>T8</t>
        </is>
      </c>
      <c r="C4" s="2" t="inlineStr">
        <is>
          <t>– (layer set)</t>
        </is>
      </c>
      <c r="D4" s="2" t="inlineStr">
        <is>
          <t>–</t>
        </is>
      </c>
      <c r="E4" s="2" t="inlineStr">
        <is>
          <t>–</t>
        </is>
      </c>
      <c r="F4" s="2" t="inlineStr">
        <is>
          <t>IfcWallType / IfcSlabType</t>
        </is>
      </c>
      <c r="G4" s="2" t="inlineStr">
        <is>
          <t>IfcRelAssociatesMaterial</t>
        </is>
      </c>
      <c r="H4" s="2" t="inlineStr">
        <is>
          <t>IfcMaterialLayerSet.MaterialLayers (order kept: outside → inside)</t>
        </is>
      </c>
      <c r="I4" s="2" t="inlineStr">
        <is>
          <t>IFC DesignTransferView</t>
        </is>
      </c>
      <c r="J4" s="2" t="inlineStr">
        <is>
          <t>–</t>
        </is>
      </c>
      <c r="K4" s="2" t="inlineStr">
        <is>
          <t>–</t>
        </is>
      </c>
      <c r="L4" s="2" t="inlineStr">
        <is>
          <t>OpaqueConstruction</t>
        </is>
      </c>
      <c r="M4" s="2" t="inlineStr">
        <is>
          <t>materials (list, outside → inside)</t>
        </is>
      </c>
      <c r="N4" s="2" t="inlineStr">
        <is>
          <t>Construction</t>
        </is>
      </c>
      <c r="O4" s="2" t="inlineStr">
        <is>
          <t>Outside_Layer, Layer_2 … Layer_10</t>
        </is>
      </c>
      <c r="P4" s="2" t="inlineStr">
        <is>
          <t>–</t>
        </is>
      </c>
      <c r="Q4" s="2" t="inlineStr">
        <is>
          <t>1:1 order</t>
        </is>
      </c>
      <c r="R4" s="2" t="inlineStr">
        <is>
          <t>construction skipped if no layer has λ, ρ and c</t>
        </is>
      </c>
      <c r="S4" s="10" t="inlineStr">
        <is>
          <t>Yes</t>
        </is>
      </c>
      <c r="T4" s="2" t="inlineStr">
        <is>
          <t>HB.HBOpaqueConstructionsByIFCPaths (Operation.py:234); Eppy.IdfSetConstructionsAndMaterials</t>
        </is>
      </c>
      <c r="U4" s="2" t="inlineStr">
        <is>
          <t>see Val_Layers</t>
        </is>
      </c>
      <c r="V4" s="2" t="inlineStr">
        <is>
          <t>see Val_Layers</t>
        </is>
      </c>
      <c r="W4" s="2" t="inlineStr">
        <is>
          <t>see Val_Layers</t>
        </is>
      </c>
      <c r="X4" s="2" t="inlineStr">
        <is>
          <t>same</t>
        </is>
      </c>
      <c r="Y4" s="2" t="inlineStr">
        <is>
          <t>IfcRoofType has no layer set in either IFC → roof construction typed in the notebook (E14).</t>
        </is>
      </c>
    </row>
    <row r="5" ht="23.25" customHeight="1">
      <c r="A5" s="2" t="inlineStr">
        <is>
          <t>E04</t>
        </is>
      </c>
      <c r="B5" s="2" t="inlineStr">
        <is>
          <t>T8</t>
        </is>
      </c>
      <c r="C5" s="2" t="inlineStr">
        <is>
          <t>– (material name)</t>
        </is>
      </c>
      <c r="D5" s="2" t="inlineStr">
        <is>
          <t>–</t>
        </is>
      </c>
      <c r="E5" s="2" t="inlineStr">
        <is>
          <t>–</t>
        </is>
      </c>
      <c r="F5" s="2" t="inlineStr">
        <is>
          <t>IfcMaterial</t>
        </is>
      </c>
      <c r="G5" s="2" t="inlineStr">
        <is>
          <t>–</t>
        </is>
      </c>
      <c r="H5" s="2" t="inlineStr">
        <is>
          <t>Name</t>
        </is>
      </c>
      <c r="I5" s="2" t="inlineStr">
        <is>
          <t>IFC ReferenceView</t>
        </is>
      </c>
      <c r="J5" s="2" t="inlineStr">
        <is>
          <t>text</t>
        </is>
      </c>
      <c r="K5" s="2" t="inlineStr">
        <is>
          <t>–</t>
        </is>
      </c>
      <c r="L5" s="2" t="inlineStr">
        <is>
          <t>EnergyMaterial</t>
        </is>
      </c>
      <c r="M5" s="2" t="inlineStr">
        <is>
          <t>identifier = '{Name}-{thickness_m}' (',' → '-')</t>
        </is>
      </c>
      <c r="N5" s="2" t="inlineStr">
        <is>
          <t>Material</t>
        </is>
      </c>
      <c r="O5" s="2" t="inlineStr">
        <is>
          <t>Name</t>
        </is>
      </c>
      <c r="P5" s="2" t="inlineStr">
        <is>
          <t>–</t>
        </is>
      </c>
      <c r="Q5" s="2" t="inlineStr">
        <is>
          <t>string</t>
        </is>
      </c>
      <c r="R5" s="2" t="inlineStr">
        <is>
          <t>–</t>
        </is>
      </c>
      <c r="S5" s="10" t="inlineStr">
        <is>
          <t>Yes</t>
        </is>
      </c>
      <c r="T5" s="2" t="inlineStr">
        <is>
          <t>HB.HBOpaqueConstructionsByIFCPaths</t>
        </is>
      </c>
      <c r="U5" s="2" t="inlineStr">
        <is>
          <t>see Val_Layers</t>
        </is>
      </c>
      <c r="V5" s="2" t="inlineStr">
        <is>
          <t>see Val_Layers</t>
        </is>
      </c>
      <c r="W5" s="2" t="inlineStr">
        <is>
          <t>see Val_Layers</t>
        </is>
      </c>
      <c r="X5" s="2" t="inlineStr">
        <is>
          <t>same</t>
        </is>
      </c>
      <c r="Y5" s="2" t="n"/>
    </row>
    <row r="6" ht="23.25" customHeight="1">
      <c r="A6" s="2" t="inlineStr">
        <is>
          <t>E05</t>
        </is>
      </c>
      <c r="B6" s="2" t="inlineStr">
        <is>
          <t>T8</t>
        </is>
      </c>
      <c r="C6" s="2" t="inlineStr">
        <is>
          <t>– (layer thickness)</t>
        </is>
      </c>
      <c r="D6" s="2" t="inlineStr">
        <is>
          <t>–</t>
        </is>
      </c>
      <c r="E6" s="2" t="inlineStr">
        <is>
          <t>–</t>
        </is>
      </c>
      <c r="F6" s="2" t="inlineStr">
        <is>
          <t>IfcMaterialLayer</t>
        </is>
      </c>
      <c r="G6" s="2" t="inlineStr">
        <is>
          <t>–</t>
        </is>
      </c>
      <c r="H6" s="2" t="inlineStr">
        <is>
          <t>LayerThickness</t>
        </is>
      </c>
      <c r="I6" s="2" t="inlineStr">
        <is>
          <t>IFC DesignTransferView</t>
        </is>
      </c>
      <c r="J6" s="2" t="inlineStr">
        <is>
          <t>cm</t>
        </is>
      </c>
      <c r="K6" s="2" t="inlineStr">
        <is>
          <t>–</t>
        </is>
      </c>
      <c r="L6" s="2" t="inlineStr">
        <is>
          <t>EnergyMaterial</t>
        </is>
      </c>
      <c r="M6" s="2" t="inlineStr">
        <is>
          <t>thickness</t>
        </is>
      </c>
      <c r="N6" s="2" t="inlineStr">
        <is>
          <t>Material</t>
        </is>
      </c>
      <c r="O6" s="2" t="inlineStr">
        <is>
          <t>Thickness</t>
        </is>
      </c>
      <c r="P6" s="2" t="inlineStr">
        <is>
          <t>m</t>
        </is>
      </c>
      <c r="Q6" s="2" t="inlineStr">
        <is>
          <t>÷ 100</t>
        </is>
      </c>
      <c r="R6" s="2" t="inlineStr">
        <is>
          <t>0 → 0.005 m</t>
        </is>
      </c>
      <c r="S6" s="10" t="inlineStr">
        <is>
          <t>Yes</t>
        </is>
      </c>
      <c r="T6" s="2" t="inlineStr">
        <is>
          <t>HB.HBOpaqueConstructionsByIFCPaths</t>
        </is>
      </c>
      <c r="U6" s="2" t="inlineStr">
        <is>
          <t>see Val_Layers</t>
        </is>
      </c>
      <c r="V6" s="2" t="inlineStr">
        <is>
          <t>see Val_Layers</t>
        </is>
      </c>
      <c r="W6" s="2" t="inlineStr">
        <is>
          <t>see Val_Layers</t>
        </is>
      </c>
      <c r="X6" s="2" t="inlineStr">
        <is>
          <t>same</t>
        </is>
      </c>
      <c r="Y6" s="2" t="inlineStr">
        <is>
          <t>Waterproofing membranes have LayerThickness 0 in IFC → 5 mm in E+.</t>
        </is>
      </c>
    </row>
    <row r="7" ht="34.9" customHeight="1">
      <c r="A7" s="2" t="inlineStr">
        <is>
          <t>E06</t>
        </is>
      </c>
      <c r="B7" s="2" t="inlineStr">
        <is>
          <t>T8</t>
        </is>
      </c>
      <c r="C7" s="2" t="inlineStr">
        <is>
          <t>– (thermal conductivity)</t>
        </is>
      </c>
      <c r="D7" s="2" t="inlineStr">
        <is>
          <t>–</t>
        </is>
      </c>
      <c r="E7" s="2" t="inlineStr">
        <is>
          <t>–</t>
        </is>
      </c>
      <c r="F7" s="2" t="inlineStr">
        <is>
          <t>IfcMaterial</t>
        </is>
      </c>
      <c r="G7" s="2" t="inlineStr">
        <is>
          <t>IfcMaterialProperties</t>
        </is>
      </c>
      <c r="H7" s="2" t="inlineStr">
        <is>
          <t>ThermalConductivity</t>
        </is>
      </c>
      <c r="I7" s="2" t="inlineStr">
        <is>
          <t>IFC ReferenceView</t>
        </is>
      </c>
      <c r="J7" s="2" t="inlineStr">
        <is>
          <t>W/m·K</t>
        </is>
      </c>
      <c r="K7" s="2" t="inlineStr">
        <is>
          <t>–</t>
        </is>
      </c>
      <c r="L7" s="2" t="inlineStr">
        <is>
          <t>EnergyMaterial</t>
        </is>
      </c>
      <c r="M7" s="2" t="inlineStr">
        <is>
          <t>conductivity</t>
        </is>
      </c>
      <c r="N7" s="2" t="inlineStr">
        <is>
          <t>Material</t>
        </is>
      </c>
      <c r="O7" s="2" t="inlineStr">
        <is>
          <t>Conductivity</t>
        </is>
      </c>
      <c r="P7" s="2" t="inlineStr">
        <is>
          <t>W/m·K</t>
        </is>
      </c>
      <c r="Q7" s="2" t="inlineStr">
        <is>
          <t>round(·, 3)</t>
        </is>
      </c>
      <c r="R7" s="2" t="inlineStr">
        <is>
          <t>material skipped</t>
        </is>
      </c>
      <c r="S7" s="10" t="inlineStr">
        <is>
          <t>Yes</t>
        </is>
      </c>
      <c r="T7" s="2" t="inlineStr">
        <is>
          <t>HB.HBOpaqueConstructionsByIFCPaths</t>
        </is>
      </c>
      <c r="U7" s="2" t="inlineStr">
        <is>
          <t>see Val_Layers</t>
        </is>
      </c>
      <c r="V7" s="2" t="inlineStr">
        <is>
          <t>see Val_Layers</t>
        </is>
      </c>
      <c r="W7" s="2" t="inlineStr">
        <is>
          <t>see Val_Layers</t>
        </is>
      </c>
      <c r="X7" s="2" t="inlineStr">
        <is>
          <t>same</t>
        </is>
      </c>
      <c r="Y7" s="2" t="inlineStr">
        <is>
          <t>Air cavities are written as massive Material with λ = 0.285 / 1.0 W/m·K and ρ = 1 kg/m³ (no Material:AirGap).</t>
        </is>
      </c>
    </row>
    <row r="8" ht="34.9" customHeight="1">
      <c r="A8" s="2" t="inlineStr">
        <is>
          <t>E07</t>
        </is>
      </c>
      <c r="B8" s="2" t="inlineStr">
        <is>
          <t>T8</t>
        </is>
      </c>
      <c r="C8" s="2" t="inlineStr">
        <is>
          <t>– (density)</t>
        </is>
      </c>
      <c r="D8" s="2" t="inlineStr">
        <is>
          <t>–</t>
        </is>
      </c>
      <c r="E8" s="2" t="inlineStr">
        <is>
          <t>–</t>
        </is>
      </c>
      <c r="F8" s="2" t="inlineStr">
        <is>
          <t>IfcMaterial</t>
        </is>
      </c>
      <c r="G8" s="2" t="inlineStr">
        <is>
          <t>IfcMaterialProperties</t>
        </is>
      </c>
      <c r="H8" s="2" t="inlineStr">
        <is>
          <t>Density (not MassDensity)</t>
        </is>
      </c>
      <c r="I8" s="2" t="inlineStr">
        <is>
          <t>IFC ReferenceView</t>
        </is>
      </c>
      <c r="J8" s="2" t="inlineStr">
        <is>
          <t>kg/m³</t>
        </is>
      </c>
      <c r="K8" s="2" t="inlineStr">
        <is>
          <t>–</t>
        </is>
      </c>
      <c r="L8" s="2" t="inlineStr">
        <is>
          <t>EnergyMaterial</t>
        </is>
      </c>
      <c r="M8" s="2" t="inlineStr">
        <is>
          <t>density</t>
        </is>
      </c>
      <c r="N8" s="2" t="inlineStr">
        <is>
          <t>Material</t>
        </is>
      </c>
      <c r="O8" s="2" t="inlineStr">
        <is>
          <t>Density</t>
        </is>
      </c>
      <c r="P8" s="2" t="inlineStr">
        <is>
          <t>kg/m³</t>
        </is>
      </c>
      <c r="Q8" s="2" t="inlineStr">
        <is>
          <t>1:1</t>
        </is>
      </c>
      <c r="R8" s="2" t="inlineStr">
        <is>
          <t>material skipped</t>
        </is>
      </c>
      <c r="S8" s="10" t="inlineStr">
        <is>
          <t>Yes</t>
        </is>
      </c>
      <c r="T8" s="2" t="inlineStr">
        <is>
          <t>HB.HBOpaqueConstructionsByIFCPaths</t>
        </is>
      </c>
      <c r="U8" s="2" t="inlineStr">
        <is>
          <t>see Val_Layers</t>
        </is>
      </c>
      <c r="V8" s="2" t="inlineStr">
        <is>
          <t>see Val_Layers</t>
        </is>
      </c>
      <c r="W8" s="2" t="inlineStr">
        <is>
          <t>see Val_Layers</t>
        </is>
      </c>
      <c r="X8" s="2" t="inlineStr">
        <is>
          <t>same</t>
        </is>
      </c>
      <c r="Y8" s="2" t="inlineStr">
        <is>
          <t>IFC carries two densities (Density, MassDensity) that differ, e.g. insulation 30 vs 80 kg/m³; the workflow uses 'Density'.</t>
        </is>
      </c>
    </row>
    <row r="9" ht="23.25" customHeight="1">
      <c r="A9" s="2" t="inlineStr">
        <is>
          <t>E08</t>
        </is>
      </c>
      <c r="B9" s="2" t="inlineStr">
        <is>
          <t>T8</t>
        </is>
      </c>
      <c r="C9" s="2" t="inlineStr">
        <is>
          <t>– (specific heat)</t>
        </is>
      </c>
      <c r="D9" s="2" t="inlineStr">
        <is>
          <t>–</t>
        </is>
      </c>
      <c r="E9" s="2" t="inlineStr">
        <is>
          <t>–</t>
        </is>
      </c>
      <c r="F9" s="2" t="inlineStr">
        <is>
          <t>IfcMaterial</t>
        </is>
      </c>
      <c r="G9" s="2" t="inlineStr">
        <is>
          <t>IfcMaterialProperties</t>
        </is>
      </c>
      <c r="H9" s="2" t="inlineStr">
        <is>
          <t>SpecificHeatCapacity (any name containing 'HEAT')</t>
        </is>
      </c>
      <c r="I9" s="2" t="inlineStr">
        <is>
          <t>IFC ReferenceView</t>
        </is>
      </c>
      <c r="J9" s="2" t="inlineStr">
        <is>
          <t>J/kg·K</t>
        </is>
      </c>
      <c r="K9" s="2" t="inlineStr">
        <is>
          <t>–</t>
        </is>
      </c>
      <c r="L9" s="2" t="inlineStr">
        <is>
          <t>EnergyMaterial</t>
        </is>
      </c>
      <c r="M9" s="2" t="inlineStr">
        <is>
          <t>specific_heat</t>
        </is>
      </c>
      <c r="N9" s="2" t="inlineStr">
        <is>
          <t>Material</t>
        </is>
      </c>
      <c r="O9" s="2" t="inlineStr">
        <is>
          <t>Specific_Heat</t>
        </is>
      </c>
      <c r="P9" s="2" t="inlineStr">
        <is>
          <t>J/kg·K</t>
        </is>
      </c>
      <c r="Q9" s="2" t="inlineStr">
        <is>
          <t>int() (truncation)</t>
        </is>
      </c>
      <c r="R9" s="2" t="inlineStr">
        <is>
          <t>material skipped</t>
        </is>
      </c>
      <c r="S9" s="10" t="inlineStr">
        <is>
          <t>Yes</t>
        </is>
      </c>
      <c r="T9" s="2" t="inlineStr">
        <is>
          <t>HB.HBOpaqueConstructionsByIFCPaths</t>
        </is>
      </c>
      <c r="U9" s="2" t="inlineStr">
        <is>
          <t>see Val_Layers</t>
        </is>
      </c>
      <c r="V9" s="2" t="inlineStr">
        <is>
          <t>see Val_Layers</t>
        </is>
      </c>
      <c r="W9" s="2" t="inlineStr">
        <is>
          <t>see Val_Layers</t>
        </is>
      </c>
      <c r="X9" s="2" t="inlineStr">
        <is>
          <t>same</t>
        </is>
      </c>
      <c r="Y9" s="2" t="n"/>
    </row>
    <row r="10" ht="23.25" customHeight="1">
      <c r="A10" s="2" t="inlineStr">
        <is>
          <t>E09</t>
        </is>
      </c>
      <c r="B10" s="2" t="inlineStr">
        <is>
          <t>T8</t>
        </is>
      </c>
      <c r="C10" s="2" t="inlineStr">
        <is>
          <t>– (emissivity)</t>
        </is>
      </c>
      <c r="D10" s="2" t="inlineStr">
        <is>
          <t>–</t>
        </is>
      </c>
      <c r="E10" s="2" t="inlineStr">
        <is>
          <t>–</t>
        </is>
      </c>
      <c r="F10" s="2" t="inlineStr">
        <is>
          <t>IfcMaterial</t>
        </is>
      </c>
      <c r="G10" s="2" t="inlineStr">
        <is>
          <t>IfcMaterialProperties</t>
        </is>
      </c>
      <c r="H10" s="2" t="inlineStr">
        <is>
          <t>Emissivity</t>
        </is>
      </c>
      <c r="I10" s="2" t="inlineStr">
        <is>
          <t>IFC ReferenceView</t>
        </is>
      </c>
      <c r="J10" s="2" t="inlineStr">
        <is>
          <t>–</t>
        </is>
      </c>
      <c r="K10" s="2" t="inlineStr">
        <is>
          <t>–</t>
        </is>
      </c>
      <c r="L10" s="2" t="inlineStr">
        <is>
          <t>EnergyMaterial</t>
        </is>
      </c>
      <c r="M10" s="2" t="inlineStr">
        <is>
          <t>thermal_absorptance</t>
        </is>
      </c>
      <c r="N10" s="2" t="inlineStr">
        <is>
          <t>Material</t>
        </is>
      </c>
      <c r="O10" s="2" t="inlineStr">
        <is>
          <t>Thermal_Absorptance</t>
        </is>
      </c>
      <c r="P10" s="2" t="inlineStr">
        <is>
          <t>–</t>
        </is>
      </c>
      <c r="Q10" s="2" t="inlineStr">
        <is>
          <t>if ε &gt; 0.05: round(ε, 2) else 0.7</t>
        </is>
      </c>
      <c r="R10" s="2" t="inlineStr">
        <is>
          <t>0.9</t>
        </is>
      </c>
      <c r="S10" s="10" t="inlineStr">
        <is>
          <t>Yes</t>
        </is>
      </c>
      <c r="T10" s="2" t="inlineStr">
        <is>
          <t>HB.HBOpaqueConstructionsByIFCPaths</t>
        </is>
      </c>
      <c r="U10" s="2" t="inlineStr">
        <is>
          <t>see Val_Layers</t>
        </is>
      </c>
      <c r="V10" s="2" t="inlineStr">
        <is>
          <t>see Val_Layers</t>
        </is>
      </c>
      <c r="W10" s="2" t="inlineStr">
        <is>
          <t>see Val_Layers</t>
        </is>
      </c>
      <c r="X10" s="2" t="inlineStr">
        <is>
          <t>same</t>
        </is>
      </c>
      <c r="Y10" s="2" t="n"/>
    </row>
    <row r="11" ht="23.25" customHeight="1">
      <c r="A11" s="2" t="inlineStr">
        <is>
          <t>E10</t>
        </is>
      </c>
      <c r="B11" s="2" t="inlineStr">
        <is>
          <t>T8</t>
        </is>
      </c>
      <c r="C11" s="2" t="inlineStr">
        <is>
          <t>– (solar absorptance)</t>
        </is>
      </c>
      <c r="D11" s="2" t="inlineStr">
        <is>
          <t>–</t>
        </is>
      </c>
      <c r="E11" s="2" t="inlineStr">
        <is>
          <t>–</t>
        </is>
      </c>
      <c r="F11" s="2" t="inlineStr">
        <is>
          <t>–</t>
        </is>
      </c>
      <c r="G11" s="2" t="inlineStr">
        <is>
          <t>–</t>
        </is>
      </c>
      <c r="H11" s="2" t="inlineStr">
        <is>
          <t>–</t>
        </is>
      </c>
      <c r="I11" s="2" t="inlineStr">
        <is>
          <t>notebook constant</t>
        </is>
      </c>
      <c r="J11" s="2" t="inlineStr">
        <is>
          <t>–</t>
        </is>
      </c>
      <c r="K11" s="2" t="inlineStr">
        <is>
          <t>–</t>
        </is>
      </c>
      <c r="L11" s="2" t="inlineStr">
        <is>
          <t>EnergyMaterial</t>
        </is>
      </c>
      <c r="M11" s="2" t="inlineStr">
        <is>
          <t>solar_absorptance</t>
        </is>
      </c>
      <c r="N11" s="2" t="inlineStr">
        <is>
          <t>Material</t>
        </is>
      </c>
      <c r="O11" s="2" t="inlineStr">
        <is>
          <t>Solar_Absorptance</t>
        </is>
      </c>
      <c r="P11" s="2" t="inlineStr">
        <is>
          <t>–</t>
        </is>
      </c>
      <c r="Q11" s="2" t="inlineStr">
        <is>
          <t>constant</t>
        </is>
      </c>
      <c r="R11" s="2" t="inlineStr">
        <is>
          <t>0.7</t>
        </is>
      </c>
      <c r="S11" s="14" t="inlineStr">
        <is>
          <t>Partial</t>
        </is>
      </c>
      <c r="T11" s="2" t="inlineStr">
        <is>
          <t>HB.HBOpaqueConstructionsByIFCPaths</t>
        </is>
      </c>
      <c r="U11" s="2" t="inlineStr">
        <is>
          <t>0.7</t>
        </is>
      </c>
      <c r="V11" s="2" t="inlineStr">
        <is>
          <t>0.7</t>
        </is>
      </c>
      <c r="W11" s="2" t="inlineStr">
        <is>
          <t>0.7 (all opaque materials)</t>
        </is>
      </c>
      <c r="X11" s="2" t="inlineStr">
        <is>
          <t>same</t>
        </is>
      </c>
      <c r="Y11" s="2" t="inlineStr">
        <is>
          <t>IFC 'Analytical Properties.Absorptance' is not read by the active function.</t>
        </is>
      </c>
    </row>
    <row r="12" ht="23.25" customHeight="1">
      <c r="A12" s="2" t="inlineStr">
        <is>
          <t>E11</t>
        </is>
      </c>
      <c r="B12" s="2" t="inlineStr">
        <is>
          <t>T8</t>
        </is>
      </c>
      <c r="C12" s="2" t="inlineStr">
        <is>
          <t>– (visible absorptance)</t>
        </is>
      </c>
      <c r="D12" s="2" t="inlineStr">
        <is>
          <t>–</t>
        </is>
      </c>
      <c r="E12" s="2" t="inlineStr">
        <is>
          <t>–</t>
        </is>
      </c>
      <c r="F12" s="2" t="inlineStr">
        <is>
          <t>–</t>
        </is>
      </c>
      <c r="G12" s="2" t="inlineStr">
        <is>
          <t>–</t>
        </is>
      </c>
      <c r="H12" s="2" t="inlineStr">
        <is>
          <t>–</t>
        </is>
      </c>
      <c r="I12" s="2" t="inlineStr">
        <is>
          <t>notebook constant</t>
        </is>
      </c>
      <c r="J12" s="2" t="inlineStr">
        <is>
          <t>–</t>
        </is>
      </c>
      <c r="K12" s="2" t="inlineStr">
        <is>
          <t>–</t>
        </is>
      </c>
      <c r="L12" s="2" t="inlineStr">
        <is>
          <t>EnergyMaterial</t>
        </is>
      </c>
      <c r="M12" s="2" t="inlineStr">
        <is>
          <t>visible_absorptance</t>
        </is>
      </c>
      <c r="N12" s="2" t="inlineStr">
        <is>
          <t>Material</t>
        </is>
      </c>
      <c r="O12" s="2" t="inlineStr">
        <is>
          <t>Visible_Absorptance</t>
        </is>
      </c>
      <c r="P12" s="2" t="inlineStr">
        <is>
          <t>–</t>
        </is>
      </c>
      <c r="Q12" s="2" t="inlineStr">
        <is>
          <t>constant</t>
        </is>
      </c>
      <c r="R12" s="2" t="inlineStr">
        <is>
          <t>0.7</t>
        </is>
      </c>
      <c r="S12" s="14" t="inlineStr">
        <is>
          <t>Partial</t>
        </is>
      </c>
      <c r="T12" s="2" t="inlineStr">
        <is>
          <t>HB.HBOpaqueConstructionsByIFCPaths</t>
        </is>
      </c>
      <c r="U12" s="2" t="inlineStr">
        <is>
          <t>0.7</t>
        </is>
      </c>
      <c r="V12" s="2" t="inlineStr">
        <is>
          <t>0.7</t>
        </is>
      </c>
      <c r="W12" s="2" t="inlineStr">
        <is>
          <t>0.7</t>
        </is>
      </c>
      <c r="X12" s="2" t="inlineStr">
        <is>
          <t>same</t>
        </is>
      </c>
      <c r="Y12" s="2" t="n"/>
    </row>
    <row r="13" ht="23.25" customHeight="1">
      <c r="A13" s="2" t="inlineStr">
        <is>
          <t>E12</t>
        </is>
      </c>
      <c r="B13" s="2" t="inlineStr">
        <is>
          <t>T8</t>
        </is>
      </c>
      <c r="C13" s="2" t="inlineStr">
        <is>
          <t>– (roughness)</t>
        </is>
      </c>
      <c r="D13" s="2" t="inlineStr">
        <is>
          <t>–</t>
        </is>
      </c>
      <c r="E13" s="2" t="inlineStr">
        <is>
          <t>–</t>
        </is>
      </c>
      <c r="F13" s="2" t="inlineStr">
        <is>
          <t>–</t>
        </is>
      </c>
      <c r="G13" s="2" t="inlineStr">
        <is>
          <t>–</t>
        </is>
      </c>
      <c r="H13" s="2" t="inlineStr">
        <is>
          <t>–</t>
        </is>
      </c>
      <c r="I13" s="2" t="inlineStr">
        <is>
          <t>notebook constant</t>
        </is>
      </c>
      <c r="J13" s="2" t="inlineStr">
        <is>
          <t>–</t>
        </is>
      </c>
      <c r="K13" s="2" t="inlineStr">
        <is>
          <t>–</t>
        </is>
      </c>
      <c r="L13" s="2" t="inlineStr">
        <is>
          <t>EnergyMaterial</t>
        </is>
      </c>
      <c r="M13" s="2" t="inlineStr">
        <is>
          <t>roughness</t>
        </is>
      </c>
      <c r="N13" s="2" t="inlineStr">
        <is>
          <t>Material</t>
        </is>
      </c>
      <c r="O13" s="2" t="inlineStr">
        <is>
          <t>Roughness</t>
        </is>
      </c>
      <c r="P13" s="2" t="inlineStr">
        <is>
          <t>–</t>
        </is>
      </c>
      <c r="Q13" s="2" t="inlineStr">
        <is>
          <t>constant</t>
        </is>
      </c>
      <c r="R13" s="2" t="inlineStr">
        <is>
          <t>MediumRough</t>
        </is>
      </c>
      <c r="S13" s="14" t="inlineStr">
        <is>
          <t>Partial</t>
        </is>
      </c>
      <c r="T13" s="2" t="inlineStr">
        <is>
          <t>HB.HBOpaqueConstructionsByIFCPaths</t>
        </is>
      </c>
      <c r="U13" s="2" t="inlineStr">
        <is>
          <t>MediumRough</t>
        </is>
      </c>
      <c r="V13" s="2" t="inlineStr">
        <is>
          <t>MediumRough</t>
        </is>
      </c>
      <c r="W13" s="2" t="inlineStr">
        <is>
          <t>MediumRough</t>
        </is>
      </c>
      <c r="X13" s="2" t="inlineStr">
        <is>
          <t>same</t>
        </is>
      </c>
      <c r="Y13" s="2" t="n"/>
    </row>
    <row r="14" ht="34.9" customHeight="1">
      <c r="A14" s="2" t="inlineStr">
        <is>
          <t>E13</t>
        </is>
      </c>
      <c r="B14" s="2" t="inlineStr">
        <is>
          <t>T8</t>
        </is>
      </c>
      <c r="C14" s="2" t="inlineStr">
        <is>
          <t>Thermal Transmittance (wall / roof / ground floor / partitions)</t>
        </is>
      </c>
      <c r="D14" s="2" t="inlineStr">
        <is>
          <t>–</t>
        </is>
      </c>
      <c r="E14" s="2" t="inlineStr">
        <is>
          <t>–</t>
        </is>
      </c>
      <c r="F14" s="2" t="inlineStr">
        <is>
          <t>IfcWallType / IfcSlabType</t>
        </is>
      </c>
      <c r="G14" s="2" t="inlineStr">
        <is>
          <t>Analytical Properties</t>
        </is>
      </c>
      <c r="H14" s="2" t="inlineStr">
        <is>
          <t>Heat Transfer Coefficient (U) / Thermal Resistance (R)</t>
        </is>
      </c>
      <c r="I14" s="2" t="inlineStr">
        <is>
          <t>not read</t>
        </is>
      </c>
      <c r="J14" s="2" t="inlineStr">
        <is>
          <t>W/m²K</t>
        </is>
      </c>
      <c r="K14" s="2" t="inlineStr">
        <is>
          <t>–</t>
        </is>
      </c>
      <c r="L14" s="2" t="inlineStr">
        <is>
          <t>OpaqueConstruction</t>
        </is>
      </c>
      <c r="M14" s="2" t="inlineStr">
        <is>
          <t>u_value (derived from layers)</t>
        </is>
      </c>
      <c r="N14" s="2" t="inlineStr">
        <is>
          <t>Construction</t>
        </is>
      </c>
      <c r="O14" s="2" t="inlineStr">
        <is>
          <t>(none – E+ derives U from layers)</t>
        </is>
      </c>
      <c r="P14" s="2" t="inlineStr">
        <is>
          <t>W/m²K</t>
        </is>
      </c>
      <c r="Q14" s="2" t="inlineStr">
        <is>
          <t>–</t>
        </is>
      </c>
      <c r="R14" s="2" t="inlineStr">
        <is>
          <t>–</t>
        </is>
      </c>
      <c r="S14" s="13" t="inlineStr">
        <is>
          <t>No</t>
        </is>
      </c>
      <c r="T14" s="2" t="inlineStr">
        <is>
          <t>(legacy HB.HBOpaqueConstructionsByIFC reads R but is not called)</t>
        </is>
      </c>
      <c r="U14" s="2" t="inlineStr">
        <is>
          <t>see Val_Constructions (computed)</t>
        </is>
      </c>
      <c r="V14" s="2" t="inlineStr">
        <is>
          <t>see Val_Constructions (computed)</t>
        </is>
      </c>
      <c r="W14" s="2" t="inlineStr">
        <is>
          <t>see Val_Constructions</t>
        </is>
      </c>
      <c r="X14" s="2" t="inlineStr">
        <is>
          <t>same</t>
        </is>
      </c>
      <c r="Y14" s="2" t="inlineStr">
        <is>
          <t>Report U computed from the IDF layers (Val_Constructions), not stored IFC U-values.</t>
        </is>
      </c>
    </row>
    <row r="15" ht="34.9" customHeight="1">
      <c r="A15" s="2" t="inlineStr">
        <is>
          <t>E14</t>
        </is>
      </c>
      <c r="B15" s="2" t="inlineStr">
        <is>
          <t>T8</t>
        </is>
      </c>
      <c r="C15" s="2" t="inlineStr">
        <is>
          <t>Roof construction</t>
        </is>
      </c>
      <c r="D15" s="2" t="inlineStr">
        <is>
          <t>Face</t>
        </is>
      </c>
      <c r="E15" s="2" t="inlineStr">
        <is>
          <t>pr_RoofTypeName</t>
        </is>
      </c>
      <c r="F15" s="2" t="inlineStr">
        <is>
          <t>IfcRoofType</t>
        </is>
      </c>
      <c r="G15" s="2" t="inlineStr">
        <is>
          <t>–</t>
        </is>
      </c>
      <c r="H15" s="2" t="inlineStr">
        <is>
          <t>Name (no material layers in IFC)</t>
        </is>
      </c>
      <c r="I15" s="2" t="inlineStr">
        <is>
          <t>notebook constant</t>
        </is>
      </c>
      <c r="J15" s="2" t="inlineStr">
        <is>
          <t>–</t>
        </is>
      </c>
      <c r="K15" s="2" t="inlineStr">
        <is>
          <t>–</t>
        </is>
      </c>
      <c r="L15" s="2" t="inlineStr">
        <is>
          <t>OpaqueConstruction</t>
        </is>
      </c>
      <c r="M15" s="2" t="inlineStr">
        <is>
          <t>RF_POLIMI-LC_IH-E: Ghiaia 0.08 / Massetto 0.12 / Isolante rigido 0.08 / CLS 0.25 m</t>
        </is>
      </c>
      <c r="N15" s="2" t="inlineStr">
        <is>
          <t>Construction + Material</t>
        </is>
      </c>
      <c r="O15" s="2" t="inlineStr">
        <is>
          <t>all layer fields</t>
        </is>
      </c>
      <c r="P15" s="2" t="inlineStr">
        <is>
          <t>SI</t>
        </is>
      </c>
      <c r="Q15" s="2" t="inlineStr">
        <is>
          <t>typed in scripts/01_bim_to_bem.py</t>
        </is>
      </c>
      <c r="R15" s="2" t="inlineStr">
        <is>
          <t>–</t>
        </is>
      </c>
      <c r="S15" s="14" t="inlineStr">
        <is>
          <t>Partial</t>
        </is>
      </c>
      <c r="T15" s="2" t="inlineStr">
        <is>
          <t>scripts/01_bim_to_bem.py</t>
        </is>
      </c>
      <c r="U15" s="2" t="inlineStr">
        <is>
          <t>RF_POLIMI-LC_IH-E, RF_POLIMI-LC_INH-E</t>
        </is>
      </c>
      <c r="V15" s="2" t="inlineStr">
        <is>
          <t>RF_POLIMI-LC_IH-E</t>
        </is>
      </c>
      <c r="W15" s="2" t="inlineStr">
        <is>
          <t>RF_POLIMI-LC_IH-E only</t>
        </is>
      </c>
      <c r="X15" s="2" t="inlineStr">
        <is>
          <t>same</t>
        </is>
      </c>
      <c r="Y15" s="2" t="inlineStr">
        <is>
          <t>Faces typed RF_POLIMI-LC_INH-E (15 in B09) fall back to 'Generic Roof' → RF_POLIMI-LC_IH-E.</t>
        </is>
      </c>
    </row>
    <row r="16" ht="58.15" customHeight="1">
      <c r="A16" s="2" t="inlineStr">
        <is>
          <t>E15</t>
        </is>
      </c>
      <c r="B16" s="2" t="inlineStr">
        <is>
          <t>– (new)</t>
        </is>
      </c>
      <c r="C16" s="2" t="inlineStr">
        <is>
          <t>Outside boundary condition</t>
        </is>
      </c>
      <c r="D16" s="2" t="inlineStr">
        <is>
          <t>Face</t>
        </is>
      </c>
      <c r="E16" s="2" t="inlineStr">
        <is>
          <t>UID (lists adiabaticFaceUIDs / groundFaceUIDs in nb)</t>
        </is>
      </c>
      <c r="F16" s="2" t="inlineStr">
        <is>
          <t>–</t>
        </is>
      </c>
      <c r="G16" s="2" t="inlineStr">
        <is>
          <t>–</t>
        </is>
      </c>
      <c r="H16" s="2" t="inlineStr">
        <is>
          <t>–</t>
        </is>
      </c>
      <c r="I16" s="2" t="inlineStr">
        <is>
          <t>HB + notebook constant</t>
        </is>
      </c>
      <c r="J16" s="2" t="inlineStr">
        <is>
          <t>–</t>
        </is>
      </c>
      <c r="K16" s="2" t="inlineStr">
        <is>
          <t>–</t>
        </is>
      </c>
      <c r="L16" s="2" t="inlineStr">
        <is>
          <t>Face</t>
        </is>
      </c>
      <c r="M16" s="2" t="inlineStr">
        <is>
          <t>boundary_condition (Outdoors / Ground / Surface via Room.solve_adjacency)</t>
        </is>
      </c>
      <c r="N16" s="2" t="inlineStr">
        <is>
          <t>BuildingSurface:Detailed</t>
        </is>
      </c>
      <c r="O16" s="2" t="inlineStr">
        <is>
          <t>Outside_Boundary_Condition (+ Outside_Boundary_Condition_Object)</t>
        </is>
      </c>
      <c r="P16" s="2" t="inlineStr">
        <is>
          <t>–</t>
        </is>
      </c>
      <c r="Q16" s="2" t="inlineStr">
        <is>
          <t>'Adiabatic' / 'Ground' forced by face UID</t>
        </is>
      </c>
      <c r="R16" s="2" t="inlineStr">
        <is>
          <t>Outdoors</t>
        </is>
      </c>
      <c r="S16" s="10" t="inlineStr">
        <is>
          <t>Yes</t>
        </is>
      </c>
      <c r="T16" s="2" t="inlineStr">
        <is>
          <t>HBRoom.solve_adjacency(tol 0.01); TopologicCellComplexToIDF 'SURFACE CONDITIONS'</t>
        </is>
      </c>
      <c r="U16" s="2" t="inlineStr">
        <is>
          <t>adiabatic: extVerFace13, 14, 140, 142, 143; ground: 17 faces</t>
        </is>
      </c>
      <c r="V16" s="2" t="inlineStr">
        <is>
          <t>adiabatic: extVerFace8–14</t>
        </is>
      </c>
      <c r="W16" s="2" t="inlineStr">
        <is>
          <t>B09: Surface (×1190); Outdoors (×471); Ground (×63); Adiabatic (×5) | B10: Surface (×260); Outdoors (×135); Ground (×15); Adiabatic (×7)</t>
        </is>
      </c>
      <c r="X16" s="2" t="inlineStr">
        <is>
          <t>same</t>
        </is>
      </c>
      <c r="Y16" s="2" t="inlineStr">
        <is>
          <t>Faces of excluded cells (notUsefullCellUIDs) leave their neighbours exposed: interior partitions become 'Outdoors'.</t>
        </is>
      </c>
    </row>
    <row r="17" ht="34.9" customHeight="1">
      <c r="A17" s="2" t="inlineStr">
        <is>
          <t>E16</t>
        </is>
      </c>
      <c r="B17" s="2" t="inlineStr">
        <is>
          <t>– (new)</t>
        </is>
      </c>
      <c r="C17" s="2" t="inlineStr">
        <is>
          <t>Surface geometry</t>
        </is>
      </c>
      <c r="D17" s="2" t="inlineStr">
        <is>
          <t>Face</t>
        </is>
      </c>
      <c r="E17" s="2" t="inlineStr">
        <is>
          <t>Face.ExternalBoundary vertices</t>
        </is>
      </c>
      <c r="F17" s="2" t="inlineStr">
        <is>
          <t>IfcSpace boundaries (via TBIM)</t>
        </is>
      </c>
      <c r="G17" s="2" t="inlineStr">
        <is>
          <t>–</t>
        </is>
      </c>
      <c r="H17" s="2" t="inlineStr">
        <is>
          <t>–</t>
        </is>
      </c>
      <c r="I17" s="2" t="inlineStr">
        <is>
          <t>Topologic geometry</t>
        </is>
      </c>
      <c r="J17" s="2" t="inlineStr">
        <is>
          <t>cm</t>
        </is>
      </c>
      <c r="K17" s="2" t="inlineStr">
        <is>
          <t>–</t>
        </is>
      </c>
      <c r="L17" s="2" t="inlineStr">
        <is>
          <t>Face</t>
        </is>
      </c>
      <c r="M17" s="2" t="inlineStr">
        <is>
          <t>geometry = Face3D(Point3D)</t>
        </is>
      </c>
      <c r="N17" s="2" t="inlineStr">
        <is>
          <t>BuildingSurface:Detailed</t>
        </is>
      </c>
      <c r="O17" s="2" t="inlineStr">
        <is>
          <t>Vertex_n_X/Y/Zcoordinate</t>
        </is>
      </c>
      <c r="P17" s="2" t="inlineStr">
        <is>
          <t>m</t>
        </is>
      </c>
      <c r="Q17" s="2" t="inlineStr">
        <is>
          <t>÷ 100</t>
        </is>
      </c>
      <c r="R17" s="2" t="inlineStr">
        <is>
          <t>–</t>
        </is>
      </c>
      <c r="S17" s="10" t="inlineStr">
        <is>
          <t>Yes</t>
        </is>
      </c>
      <c r="T17" s="2" t="inlineStr">
        <is>
          <t>HB.HBFacesByTopologicZone</t>
        </is>
      </c>
      <c r="U17" s="2" t="inlineStr">
        <is>
          <t>–</t>
        </is>
      </c>
      <c r="V17" s="2" t="inlineStr">
        <is>
          <t>–</t>
        </is>
      </c>
      <c r="W17" s="2" t="inlineStr">
        <is>
          <t>GlobalGeometryRules: UpperLeftCorner, Counterclockwise, Relative</t>
        </is>
      </c>
      <c r="X17" s="2" t="inlineStr">
        <is>
          <t>same</t>
        </is>
      </c>
      <c r="Y17" s="2" t="n"/>
    </row>
    <row r="18">
      <c r="A18" s="2" t="inlineStr">
        <is>
          <t>E17</t>
        </is>
      </c>
      <c r="B18" s="2" t="inlineStr">
        <is>
          <t>– (new)</t>
        </is>
      </c>
      <c r="C18" s="2" t="inlineStr">
        <is>
          <t>Surface identifier</t>
        </is>
      </c>
      <c r="D18" s="2" t="inlineStr">
        <is>
          <t>Face</t>
        </is>
      </c>
      <c r="E18" s="2" t="inlineStr">
        <is>
          <t>UID</t>
        </is>
      </c>
      <c r="F18" s="2" t="inlineStr">
        <is>
          <t>–</t>
        </is>
      </c>
      <c r="G18" s="2" t="inlineStr">
        <is>
          <t>–</t>
        </is>
      </c>
      <c r="H18" s="2" t="inlineStr">
        <is>
          <t>–</t>
        </is>
      </c>
      <c r="I18" s="2" t="inlineStr">
        <is>
          <t>Topologic JSON</t>
        </is>
      </c>
      <c r="J18" s="2" t="inlineStr">
        <is>
          <t>id</t>
        </is>
      </c>
      <c r="K18" s="2" t="inlineStr">
        <is>
          <t>–</t>
        </is>
      </c>
      <c r="L18" s="2" t="inlineStr">
        <is>
          <t>Face</t>
        </is>
      </c>
      <c r="M18" s="2" t="inlineStr">
        <is>
          <t>identifier = '{faceUID}-{zoneUID}'</t>
        </is>
      </c>
      <c r="N18" s="2" t="inlineStr">
        <is>
          <t>BuildingSurface:Detailed</t>
        </is>
      </c>
      <c r="O18" s="2" t="inlineStr">
        <is>
          <t>Name</t>
        </is>
      </c>
      <c r="P18" s="2" t="inlineStr">
        <is>
          <t>–</t>
        </is>
      </c>
      <c r="Q18" s="2" t="inlineStr">
        <is>
          <t>string</t>
        </is>
      </c>
      <c r="R18" s="2" t="inlineStr">
        <is>
          <t>–</t>
        </is>
      </c>
      <c r="S18" s="10" t="inlineStr">
        <is>
          <t>Yes</t>
        </is>
      </c>
      <c r="T18" s="2" t="inlineStr">
        <is>
          <t>HB.HBFacesByTopologicZone</t>
        </is>
      </c>
      <c r="U18" s="2" t="inlineStr">
        <is>
          <t>e.g. extVerFace62-zone27</t>
        </is>
      </c>
      <c r="V18" s="2" t="inlineStr">
        <is>
          <t>e.g. extVerFace0-zone12</t>
        </is>
      </c>
      <c r="W18" s="2" t="inlineStr">
        <is>
          <t>same pattern</t>
        </is>
      </c>
      <c r="X18" s="2" t="inlineStr">
        <is>
          <t>same</t>
        </is>
      </c>
      <c r="Y18" s="2" t="inlineStr">
        <is>
          <t>Join key between TBIM faces and IDF surfaces.</t>
        </is>
      </c>
    </row>
  </sheetData>
  <autoFilter ref="A1:Y1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25"/>
  <cols>
    <col width="6" customWidth="1" min="1" max="1"/>
    <col width="8" customWidth="1" min="2" max="2"/>
    <col width="22" customWidth="1" min="3" max="3"/>
    <col width="12" customWidth="1" min="4" max="4"/>
    <col width="30" customWidth="1" min="5" max="5"/>
    <col width="10" customWidth="1" min="6" max="6"/>
    <col width="11" customWidth="1" min="7" max="7"/>
    <col width="30" customWidth="1" min="8" max="8"/>
    <col width="16" customWidth="1" min="9" max="9"/>
    <col width="9" customWidth="1" min="10" max="10"/>
    <col width="26" customWidth="1" min="11" max="11"/>
    <col width="16" customWidth="1" min="12" max="12"/>
    <col width="26" customWidth="1" min="13" max="14"/>
    <col width="30" customWidth="1" min="15" max="15"/>
    <col width="10" customWidth="1" min="16" max="16"/>
    <col width="22" customWidth="1" min="17" max="17"/>
    <col width="24" customWidth="1" min="18" max="18"/>
    <col width="8" customWidth="1" min="19" max="19"/>
    <col width="30" customWidth="1" min="20" max="20"/>
    <col width="26" customWidth="1" min="21" max="24"/>
    <col width="40" customWidth="1" min="25" max="25"/>
  </cols>
  <sheetData>
    <row r="1" ht="26.25" customHeight="1">
      <c r="A1" s="1" t="inlineStr">
        <is>
          <t>ID</t>
        </is>
      </c>
      <c r="B1" s="1" t="inlineStr">
        <is>
          <t>Paper table</t>
        </is>
      </c>
      <c r="C1" s="1" t="inlineStr">
        <is>
          <t>Paper property name</t>
        </is>
      </c>
      <c r="D1" s="1" t="inlineStr">
        <is>
          <t>Topologic entity</t>
        </is>
      </c>
      <c r="E1" s="1" t="inlineStr">
        <is>
          <t>Topologic key</t>
        </is>
      </c>
      <c r="F1" s="1" t="inlineStr">
        <is>
          <t>IFC entity</t>
        </is>
      </c>
      <c r="G1" s="1" t="inlineStr">
        <is>
          <t>IFC pset</t>
        </is>
      </c>
      <c r="H1" s="1" t="inlineStr">
        <is>
          <t>IFC property</t>
        </is>
      </c>
      <c r="I1" s="1" t="inlineStr">
        <is>
          <t>Read by workflow from</t>
        </is>
      </c>
      <c r="J1" s="1" t="inlineStr">
        <is>
          <t>BIM unit</t>
        </is>
      </c>
      <c r="K1" s="1" t="inlineStr">
        <is>
          <t>Cell → zone aggregation</t>
        </is>
      </c>
      <c r="L1" s="1" t="inlineStr">
        <is>
          <t>Honeybee object</t>
        </is>
      </c>
      <c r="M1" s="1" t="inlineStr">
        <is>
          <t>Honeybee attribute</t>
        </is>
      </c>
      <c r="N1" s="1" t="inlineStr">
        <is>
          <t>EnergyPlus object</t>
        </is>
      </c>
      <c r="O1" s="1" t="inlineStr">
        <is>
          <t>EnergyPlus field</t>
        </is>
      </c>
      <c r="P1" s="1" t="inlineStr">
        <is>
          <t>E+ unit</t>
        </is>
      </c>
      <c r="Q1" s="1" t="inlineStr">
        <is>
          <t>Conversion BIM → E+</t>
        </is>
      </c>
      <c r="R1" s="1" t="inlineStr">
        <is>
          <t>Default if missing / 'Undefined'</t>
        </is>
      </c>
      <c r="S1" s="1" t="inlineStr">
        <is>
          <t>In IDF?</t>
        </is>
      </c>
      <c r="T1" s="1" t="inlineStr">
        <is>
          <t>Implementation</t>
        </is>
      </c>
      <c r="U1" s="1" t="inlineStr">
        <is>
          <t>Value B09 (BIM)</t>
        </is>
      </c>
      <c r="V1" s="1" t="inlineStr">
        <is>
          <t>Value B10 (BIM)</t>
        </is>
      </c>
      <c r="W1" s="1" t="inlineStr">
        <is>
          <t>Value in IDF – baseline</t>
        </is>
      </c>
      <c r="X1" s="1" t="inlineStr">
        <is>
          <t>Value in IDF – calibrated</t>
        </is>
      </c>
      <c r="Y1" s="1" t="inlineStr">
        <is>
          <t>Notes</t>
        </is>
      </c>
    </row>
    <row r="2" ht="58.15" customHeight="1">
      <c r="A2" s="2" t="inlineStr">
        <is>
          <t>A01</t>
        </is>
      </c>
      <c r="B2" s="2" t="inlineStr">
        <is>
          <t>T9</t>
        </is>
      </c>
      <c r="C2" s="2" t="inlineStr">
        <is>
          <t>– (aperture type)</t>
        </is>
      </c>
      <c r="D2" s="2" t="inlineStr">
        <is>
          <t>Aperture (Face)</t>
        </is>
      </c>
      <c r="E2" s="2" t="inlineStr">
        <is>
          <t>pr_TopologicalType (window / door / hole)</t>
        </is>
      </c>
      <c r="F2" s="2" t="inlineStr">
        <is>
          <t>IfcWindow / IfcDoor</t>
        </is>
      </c>
      <c r="G2" s="2" t="inlineStr">
        <is>
          <t>Other (IfcWindow/IfcDoor) – Altro in B09</t>
        </is>
      </c>
      <c r="H2" s="2" t="inlineStr">
        <is>
          <t>pr_TopologicalType</t>
        </is>
      </c>
      <c r="I2" s="2" t="inlineStr">
        <is>
          <t>Topologic JSON</t>
        </is>
      </c>
      <c r="J2" s="2" t="inlineStr">
        <is>
          <t>text</t>
        </is>
      </c>
      <c r="K2" s="2" t="inlineStr">
        <is>
          <t>–</t>
        </is>
      </c>
      <c r="L2" s="2" t="inlineStr">
        <is>
          <t>Aperture</t>
        </is>
      </c>
      <c r="M2" s="2" t="inlineStr">
        <is>
          <t>(window and door → Aperture; hole → skipped)</t>
        </is>
      </c>
      <c r="N2" s="2" t="inlineStr">
        <is>
          <t>FenestrationSurface:Detailed</t>
        </is>
      </c>
      <c r="O2" s="2" t="inlineStr">
        <is>
          <t>Surface_Type = Window</t>
        </is>
      </c>
      <c r="P2" s="2" t="inlineStr">
        <is>
          <t>–</t>
        </is>
      </c>
      <c r="Q2" s="2" t="inlineStr">
        <is>
          <t>keyword</t>
        </is>
      </c>
      <c r="R2" s="2" t="inlineStr">
        <is>
          <t>–</t>
        </is>
      </c>
      <c r="S2" s="14" t="inlineStr">
        <is>
          <t>Partial</t>
        </is>
      </c>
      <c r="T2" s="2" t="inlineStr">
        <is>
          <t>HB.HBFacesByTopologicZone</t>
        </is>
      </c>
      <c r="U2" s="2" t="inlineStr">
        <is>
          <t>door ×211, hole ×38 (no IfcWindow)</t>
        </is>
      </c>
      <c r="V2" s="2" t="inlineStr">
        <is>
          <t>door ×67, hole ×16, window ×1</t>
        </is>
      </c>
      <c r="W2" s="2" t="inlineStr">
        <is>
          <t>B09: Window (×55) | B10: Window (×25)</t>
        </is>
      </c>
      <c r="X2" s="2" t="inlineStr">
        <is>
          <t>same</t>
        </is>
      </c>
      <c r="Y2" s="2" t="inlineStr">
        <is>
          <t>Doors are modelled as glazed HB Apertures; HB Door / E+ Door objects are never created (hbRoomDoors stays empty). Apertures are dropped on faces that are curtain walls or adiabatic: only 1 door (B09) and 3 doors + 1 window (B10) reach the IDF.</t>
        </is>
      </c>
    </row>
    <row r="3" ht="58.15" customHeight="1">
      <c r="A3" s="2" t="inlineStr">
        <is>
          <t>A02</t>
        </is>
      </c>
      <c r="B3" s="2" t="inlineStr">
        <is>
          <t>T9</t>
        </is>
      </c>
      <c r="C3" s="2" t="inlineStr">
        <is>
          <t>– (curtain wall)</t>
        </is>
      </c>
      <c r="D3" s="2" t="inlineStr">
        <is>
          <t>Face</t>
        </is>
      </c>
      <c r="E3" s="2" t="inlineStr">
        <is>
          <t>pr_WallTypeName contains 'CURTAIN'</t>
        </is>
      </c>
      <c r="F3" s="2" t="inlineStr">
        <is>
          <t>IfcWall (type …CurtainWall / …CurtainWall150)</t>
        </is>
      </c>
      <c r="G3" s="2" t="inlineStr">
        <is>
          <t>–</t>
        </is>
      </c>
      <c r="H3" s="2" t="inlineStr">
        <is>
          <t>type Name</t>
        </is>
      </c>
      <c r="I3" s="2" t="inlineStr">
        <is>
          <t>Topologic JSON</t>
        </is>
      </c>
      <c r="J3" s="2" t="inlineStr">
        <is>
          <t>text</t>
        </is>
      </c>
      <c r="K3" s="2" t="inlineStr">
        <is>
          <t>–</t>
        </is>
      </c>
      <c r="L3" s="2" t="inlineStr">
        <is>
          <t>Aperture</t>
        </is>
      </c>
      <c r="M3" s="2" t="inlineStr">
        <is>
          <t>identifier 'curtainWall-{faceUID}'; geometry = face scaled 0.9 × 0.9 about its centre (≈ 81 % of face area)</t>
        </is>
      </c>
      <c r="N3" s="2" t="inlineStr">
        <is>
          <t>FenestrationSurface:Detailed</t>
        </is>
      </c>
      <c r="O3" s="2" t="inlineStr">
        <is>
          <t>Name / vertices</t>
        </is>
      </c>
      <c r="P3" s="2" t="inlineStr">
        <is>
          <t>m</t>
        </is>
      </c>
      <c r="Q3" s="2" t="inlineStr">
        <is>
          <t>linear scale 0.9</t>
        </is>
      </c>
      <c r="R3" s="2" t="inlineStr">
        <is>
          <t>–</t>
        </is>
      </c>
      <c r="S3" s="10" t="inlineStr">
        <is>
          <t>Yes</t>
        </is>
      </c>
      <c r="T3" s="2" t="inlineStr">
        <is>
          <t>HB.HBFacesByTopologicZone</t>
        </is>
      </c>
      <c r="U3" s="2" t="inlineStr">
        <is>
          <t>55 extVer curtain-wall faces (+47 intVer, no aperture)</t>
        </is>
      </c>
      <c r="V3" s="2" t="inlineStr">
        <is>
          <t>WL_POLIMI-LC_CurtainWall faces (see Val_Glazing)</t>
        </is>
      </c>
      <c r="W3" s="2" t="inlineStr">
        <is>
          <t>see Val_Glazing</t>
        </is>
      </c>
      <c r="X3" s="2" t="inlineStr">
        <is>
          <t>same</t>
        </is>
      </c>
      <c r="Y3" s="2" t="inlineStr">
        <is>
          <t>Glazing fraction is fixed by the scale factor, not by pr_WindowGlazingAreaFraction (0.8).</t>
        </is>
      </c>
    </row>
    <row r="4" ht="46.5" customHeight="1">
      <c r="A4" s="2" t="inlineStr">
        <is>
          <t>A03</t>
        </is>
      </c>
      <c r="B4" s="2" t="inlineStr">
        <is>
          <t>T9</t>
        </is>
      </c>
      <c r="C4" s="2" t="inlineStr">
        <is>
          <t>Thermal Transmittance</t>
        </is>
      </c>
      <c r="D4" s="2" t="inlineStr">
        <is>
          <t>Face (curtain wall) / Aperture</t>
        </is>
      </c>
      <c r="E4" s="2" t="inlineStr">
        <is>
          <t>pr_WindowThermalTrasmittance / pr_ThermalTrasmittance</t>
        </is>
      </c>
      <c r="F4" s="2" t="inlineStr">
        <is>
          <t>IfcWall (curtain) / IfcWindow / IfcDoor</t>
        </is>
      </c>
      <c r="G4" s="2" t="inlineStr">
        <is>
          <t>Other (IfcWindow/IfcDoor) – Altro in B09</t>
        </is>
      </c>
      <c r="H4" s="2" t="inlineStr">
        <is>
          <t>pr_WindowThermalTrasmittance / pr_ThermalTrasmittance</t>
        </is>
      </c>
      <c r="I4" s="2" t="inlineStr">
        <is>
          <t>IFC DesignTransferView</t>
        </is>
      </c>
      <c r="J4" s="2" t="inlineStr">
        <is>
          <t>W/m²K</t>
        </is>
      </c>
      <c r="K4" s="2" t="inlineStr">
        <is>
          <t>–</t>
        </is>
      </c>
      <c r="L4" s="2" t="inlineStr">
        <is>
          <t>WindowConstruction (from_simple_parameters)</t>
        </is>
      </c>
      <c r="M4" s="2" t="inlineStr">
        <is>
          <t>u_factor</t>
        </is>
      </c>
      <c r="N4" s="2" t="inlineStr">
        <is>
          <t>WindowMaterial:SimpleGlazingSystem</t>
        </is>
      </c>
      <c r="O4" s="2" t="inlineStr">
        <is>
          <t>UFactor</t>
        </is>
      </c>
      <c r="P4" s="2" t="inlineStr">
        <is>
          <t>W/m²K</t>
        </is>
      </c>
      <c r="Q4" s="2" t="inlineStr">
        <is>
          <t>1:1</t>
        </is>
      </c>
      <c r="R4" s="2" t="inlineStr">
        <is>
          <t>first construction in list / HB 'Generic Double Pane'</t>
        </is>
      </c>
      <c r="S4" s="10" t="inlineStr">
        <is>
          <t>Yes</t>
        </is>
      </c>
      <c r="T4" s="2" t="inlineStr">
        <is>
          <t>HB.HBWindowConstructionsByIFC (Operation.py:908; inline copy in B09 nb); Eppy.IdfSetWindowConstructions / IdfSetCurtainWallConstructions</t>
        </is>
      </c>
      <c r="U4" s="2" t="inlineStr">
        <is>
          <t>0.9</t>
        </is>
      </c>
      <c r="V4" s="2" t="inlineStr">
        <is>
          <t>0.9 (NaN on 39 doors, 2 curtain walls)</t>
        </is>
      </c>
      <c r="W4" s="2" t="inlineStr">
        <is>
          <t>0.9</t>
        </is>
      </c>
      <c r="X4" s="2" t="inlineStr">
        <is>
          <t>0.9</t>
        </is>
      </c>
      <c r="Y4" s="2" t="inlineStr">
        <is>
          <t>Whole-window U; frame and glass U (A08, A09) are not used separately.</t>
        </is>
      </c>
    </row>
    <row r="5" ht="46.5" customHeight="1">
      <c r="A5" s="2" t="inlineStr">
        <is>
          <t>A04</t>
        </is>
      </c>
      <c r="B5" s="2" t="inlineStr">
        <is>
          <t>T9</t>
        </is>
      </c>
      <c r="C5" s="2" t="inlineStr">
        <is>
          <t>Solar Heat Gain Transmittance</t>
        </is>
      </c>
      <c r="D5" s="2" t="inlineStr">
        <is>
          <t>Face / Aperture</t>
        </is>
      </c>
      <c r="E5" s="2" t="inlineStr">
        <is>
          <t>pr_WindowSolarTrasmittance / pr_SolarTrasmittance</t>
        </is>
      </c>
      <c r="F5" s="2" t="inlineStr">
        <is>
          <t>IfcWall / IfcWindow / IfcDoor</t>
        </is>
      </c>
      <c r="G5" s="2" t="inlineStr">
        <is>
          <t>Other (IfcWindow/IfcDoor) – Altro in B09</t>
        </is>
      </c>
      <c r="H5" s="2" t="inlineStr">
        <is>
          <t>pr_WindowSolarTrasmittance / pr_SolarTrasmittance</t>
        </is>
      </c>
      <c r="I5" s="2" t="inlineStr">
        <is>
          <t>IFC DesignTransferView</t>
        </is>
      </c>
      <c r="J5" s="2" t="inlineStr">
        <is>
          <t>–</t>
        </is>
      </c>
      <c r="K5" s="2" t="inlineStr">
        <is>
          <t>–</t>
        </is>
      </c>
      <c r="L5" s="2" t="inlineStr">
        <is>
          <t>WindowConstruction</t>
        </is>
      </c>
      <c r="M5" s="2" t="inlineStr">
        <is>
          <t>shgc</t>
        </is>
      </c>
      <c r="N5" s="2" t="inlineStr">
        <is>
          <t>WindowMaterial:SimpleGlazingSystem</t>
        </is>
      </c>
      <c r="O5" s="2" t="inlineStr">
        <is>
          <t>Solar_Heat_Gain_Coefficient</t>
        </is>
      </c>
      <c r="P5" s="2" t="inlineStr">
        <is>
          <t>–</t>
        </is>
      </c>
      <c r="Q5" s="2" t="inlineStr">
        <is>
          <t>1:1</t>
        </is>
      </c>
      <c r="R5" s="2" t="inlineStr">
        <is>
          <t>as above</t>
        </is>
      </c>
      <c r="S5" s="10" t="inlineStr">
        <is>
          <t>Yes</t>
        </is>
      </c>
      <c r="T5" s="2" t="inlineStr">
        <is>
          <t>as A03</t>
        </is>
      </c>
      <c r="U5" s="2" t="inlineStr">
        <is>
          <t>0.67</t>
        </is>
      </c>
      <c r="V5" s="2" t="inlineStr">
        <is>
          <t>0.67</t>
        </is>
      </c>
      <c r="W5" s="2" t="inlineStr">
        <is>
          <t>0.67</t>
        </is>
      </c>
      <c r="X5" s="2" t="inlineStr">
        <is>
          <t>0.67</t>
        </is>
      </c>
      <c r="Y5" s="2" t="n"/>
    </row>
    <row r="6" ht="46.5" customHeight="1">
      <c r="A6" s="2" t="inlineStr">
        <is>
          <t>A05</t>
        </is>
      </c>
      <c r="B6" s="2" t="inlineStr">
        <is>
          <t>T9</t>
        </is>
      </c>
      <c r="C6" s="2" t="inlineStr">
        <is>
          <t>Visible Light Transmittance</t>
        </is>
      </c>
      <c r="D6" s="2" t="inlineStr">
        <is>
          <t>Face / Aperture</t>
        </is>
      </c>
      <c r="E6" s="2" t="inlineStr">
        <is>
          <t>pr_WindowVisibleTrasmittance / pr_VisibleTrasmittance</t>
        </is>
      </c>
      <c r="F6" s="2" t="inlineStr">
        <is>
          <t>IfcWall / IfcWindow / IfcDoor</t>
        </is>
      </c>
      <c r="G6" s="2" t="inlineStr">
        <is>
          <t>Other (IfcWindow/IfcDoor) – Altro in B09</t>
        </is>
      </c>
      <c r="H6" s="2" t="inlineStr">
        <is>
          <t>pr_WindowVisibleTrasmittance / pr_VisibleTrasmittance</t>
        </is>
      </c>
      <c r="I6" s="2" t="inlineStr">
        <is>
          <t>IFC DesignTransferView</t>
        </is>
      </c>
      <c r="J6" s="2" t="inlineStr">
        <is>
          <t>–</t>
        </is>
      </c>
      <c r="K6" s="2" t="inlineStr">
        <is>
          <t>–</t>
        </is>
      </c>
      <c r="L6" s="2" t="inlineStr">
        <is>
          <t>WindowConstruction</t>
        </is>
      </c>
      <c r="M6" s="2" t="inlineStr">
        <is>
          <t>vt</t>
        </is>
      </c>
      <c r="N6" s="2" t="inlineStr">
        <is>
          <t>WindowMaterial:SimpleGlazingSystem</t>
        </is>
      </c>
      <c r="O6" s="2" t="inlineStr">
        <is>
          <t>Visible_Transmittance</t>
        </is>
      </c>
      <c r="P6" s="2" t="inlineStr">
        <is>
          <t>–</t>
        </is>
      </c>
      <c r="Q6" s="2" t="inlineStr">
        <is>
          <t>1:1</t>
        </is>
      </c>
      <c r="R6" s="2" t="inlineStr">
        <is>
          <t>as above</t>
        </is>
      </c>
      <c r="S6" s="10" t="inlineStr">
        <is>
          <t>Yes</t>
        </is>
      </c>
      <c r="T6" s="2" t="inlineStr">
        <is>
          <t>as A03</t>
        </is>
      </c>
      <c r="U6" s="2" t="inlineStr">
        <is>
          <t>0.8 (IFC); TBIM faces 0.8 ×103, 0.58 ×121</t>
        </is>
      </c>
      <c r="V6" s="2" t="inlineStr">
        <is>
          <t>0.8 / 0.58</t>
        </is>
      </c>
      <c r="W6" s="2" t="inlineStr">
        <is>
          <t>B09: 0.8 | B10: 0.8, 0.58</t>
        </is>
      </c>
      <c r="X6" s="2" t="inlineStr">
        <is>
          <t>same</t>
        </is>
      </c>
      <c r="Y6" s="2" t="inlineStr">
        <is>
          <t>B09: the TBIM has VT 0.58 on 121 curtain-wall faces but the B09 IFC only defines VT 0.8, so those panels (23 in the IDF) fall back to HB 'Generic Double Pane'.</t>
        </is>
      </c>
    </row>
    <row r="7" ht="58.15" customHeight="1">
      <c r="A7" s="2" t="inlineStr">
        <is>
          <t>A06</t>
        </is>
      </c>
      <c r="B7" s="2" t="inlineStr">
        <is>
          <t>– (new)</t>
        </is>
      </c>
      <c r="C7" s="2" t="inlineStr">
        <is>
          <t>Glazing construction name</t>
        </is>
      </c>
      <c r="D7" s="2" t="inlineStr">
        <is>
          <t>Face / Aperture</t>
        </is>
      </c>
      <c r="E7" s="2" t="inlineStr">
        <is>
          <t>(built)</t>
        </is>
      </c>
      <c r="F7" s="2" t="inlineStr">
        <is>
          <t>–</t>
        </is>
      </c>
      <c r="G7" s="2" t="inlineStr">
        <is>
          <t>–</t>
        </is>
      </c>
      <c r="H7" s="2" t="inlineStr">
        <is>
          <t>–</t>
        </is>
      </c>
      <c r="I7" s="2" t="inlineStr">
        <is>
          <t>derived</t>
        </is>
      </c>
      <c r="J7" s="2" t="inlineStr">
        <is>
          <t>text</t>
        </is>
      </c>
      <c r="K7" s="2" t="inlineStr">
        <is>
          <t>–</t>
        </is>
      </c>
      <c r="L7" s="2" t="inlineStr">
        <is>
          <t>WindowConstruction</t>
        </is>
      </c>
      <c r="M7" s="2" t="inlineStr">
        <is>
          <t>identifier 'windowConstruction_U{U}_SHGC{g}_VT{vt}' / 'curtainWallWindowConstruction_…'</t>
        </is>
      </c>
      <c r="N7" s="2" t="inlineStr">
        <is>
          <t>Construction (1 layer) + FenestrationSurface:Detailed</t>
        </is>
      </c>
      <c r="O7" s="2" t="inlineStr">
        <is>
          <t>Name / Construction_Name</t>
        </is>
      </c>
      <c r="P7" s="2" t="inlineStr">
        <is>
          <t>–</t>
        </is>
      </c>
      <c r="Q7" s="2" t="inlineStr">
        <is>
          <t>string</t>
        </is>
      </c>
      <c r="R7" s="2" t="inlineStr">
        <is>
          <t>hbWindowConstructionNames[0]</t>
        </is>
      </c>
      <c r="S7" s="10" t="inlineStr">
        <is>
          <t>Yes</t>
        </is>
      </c>
      <c r="T7" s="2" t="inlineStr">
        <is>
          <t>Eppy.IdfSetConstructionsAndMaterials</t>
        </is>
      </c>
      <c r="U7" s="2" t="inlineStr">
        <is>
          <t>see Val_Glazing</t>
        </is>
      </c>
      <c r="V7" s="2" t="inlineStr">
        <is>
          <t>see Val_Glazing</t>
        </is>
      </c>
      <c r="W7" s="2" t="inlineStr">
        <is>
          <t>see Val_Glazing</t>
        </is>
      </c>
      <c r="X7" s="2" t="inlineStr">
        <is>
          <t>same</t>
        </is>
      </c>
      <c r="Y7" s="2" t="n"/>
    </row>
    <row r="8" ht="46.5" customHeight="1">
      <c r="A8" s="2" t="inlineStr">
        <is>
          <t>A07</t>
        </is>
      </c>
      <c r="B8" s="2" t="inlineStr">
        <is>
          <t>T9</t>
        </is>
      </c>
      <c r="C8" s="2" t="inlineStr">
        <is>
          <t>Glass Layers</t>
        </is>
      </c>
      <c r="D8" s="2" t="inlineStr">
        <is>
          <t>Face / Aperture</t>
        </is>
      </c>
      <c r="E8" s="2" t="inlineStr">
        <is>
          <t>pr_WindowGlassLayers / pr_GlassLayers</t>
        </is>
      </c>
      <c r="F8" s="2" t="inlineStr">
        <is>
          <t>IfcWindow / IfcDoor / IfcWall</t>
        </is>
      </c>
      <c r="G8" s="2" t="inlineStr">
        <is>
          <t>Other (IfcWindow/IfcDoor) – Altro in B09</t>
        </is>
      </c>
      <c r="H8" s="2" t="inlineStr">
        <is>
          <t>pr_GlassLayers</t>
        </is>
      </c>
      <c r="I8" s="2" t="inlineStr">
        <is>
          <t>not read</t>
        </is>
      </c>
      <c r="J8" s="2" t="inlineStr">
        <is>
          <t>text</t>
        </is>
      </c>
      <c r="K8" s="2" t="inlineStr">
        <is>
          <t>–</t>
        </is>
      </c>
      <c r="L8" s="2" t="inlineStr">
        <is>
          <t>–</t>
        </is>
      </c>
      <c r="M8" s="2" t="inlineStr">
        <is>
          <t>–</t>
        </is>
      </c>
      <c r="N8" s="2" t="inlineStr">
        <is>
          <t>–</t>
        </is>
      </c>
      <c r="O8" s="2" t="inlineStr">
        <is>
          <t>–</t>
        </is>
      </c>
      <c r="P8" s="2" t="inlineStr">
        <is>
          <t>–</t>
        </is>
      </c>
      <c r="Q8" s="2" t="inlineStr">
        <is>
          <t>–</t>
        </is>
      </c>
      <c r="R8" s="2" t="inlineStr">
        <is>
          <t>–</t>
        </is>
      </c>
      <c r="S8" s="13" t="inlineStr">
        <is>
          <t>No</t>
        </is>
      </c>
      <c r="T8" s="2" t="inlineStr">
        <is>
          <t>–</t>
        </is>
      </c>
      <c r="U8" s="2" t="inlineStr">
        <is>
          <t>Double</t>
        </is>
      </c>
      <c r="V8" s="2" t="inlineStr">
        <is>
          <t>Double</t>
        </is>
      </c>
      <c r="W8" s="2" t="inlineStr">
        <is>
          <t>–</t>
        </is>
      </c>
      <c r="X8" s="2" t="inlineStr">
        <is>
          <t>–</t>
        </is>
      </c>
      <c r="Y8" s="2" t="inlineStr">
        <is>
          <t>Simple glazing model: number of panes is implicit in U/SHGC.</t>
        </is>
      </c>
    </row>
    <row r="9" ht="46.5" customHeight="1">
      <c r="A9" s="2" t="inlineStr">
        <is>
          <t>A08</t>
        </is>
      </c>
      <c r="B9" s="2" t="inlineStr">
        <is>
          <t>T9</t>
        </is>
      </c>
      <c r="C9" s="2" t="inlineStr">
        <is>
          <t>Glass Thermal Transmittance</t>
        </is>
      </c>
      <c r="D9" s="2" t="inlineStr">
        <is>
          <t>Face / Aperture</t>
        </is>
      </c>
      <c r="E9" s="2" t="inlineStr">
        <is>
          <t>pr_WindowGlassTermalTrasmittance / pr_GlassTermalTrasmittance</t>
        </is>
      </c>
      <c r="F9" s="2" t="inlineStr">
        <is>
          <t>IfcWindow / IfcDoor / IfcWall</t>
        </is>
      </c>
      <c r="G9" s="2" t="inlineStr">
        <is>
          <t>Other (IfcWindow/IfcDoor) – Altro in B09</t>
        </is>
      </c>
      <c r="H9" s="2" t="inlineStr">
        <is>
          <t>pr_GlassTermalTrasmittance</t>
        </is>
      </c>
      <c r="I9" s="2" t="inlineStr">
        <is>
          <t>not read</t>
        </is>
      </c>
      <c r="J9" s="2" t="inlineStr">
        <is>
          <t>W/m²K</t>
        </is>
      </c>
      <c r="K9" s="2" t="inlineStr">
        <is>
          <t>–</t>
        </is>
      </c>
      <c r="L9" s="2" t="inlineStr">
        <is>
          <t>–</t>
        </is>
      </c>
      <c r="M9" s="2" t="inlineStr">
        <is>
          <t>–</t>
        </is>
      </c>
      <c r="N9" s="2" t="inlineStr">
        <is>
          <t>–</t>
        </is>
      </c>
      <c r="O9" s="2" t="inlineStr">
        <is>
          <t>–</t>
        </is>
      </c>
      <c r="P9" s="2" t="inlineStr">
        <is>
          <t>–</t>
        </is>
      </c>
      <c r="Q9" s="2" t="inlineStr">
        <is>
          <t>–</t>
        </is>
      </c>
      <c r="R9" s="2" t="inlineStr">
        <is>
          <t>–</t>
        </is>
      </c>
      <c r="S9" s="13" t="inlineStr">
        <is>
          <t>No</t>
        </is>
      </c>
      <c r="T9" s="2" t="inlineStr">
        <is>
          <t>–</t>
        </is>
      </c>
      <c r="U9" s="2" t="inlineStr">
        <is>
          <t>1.1</t>
        </is>
      </c>
      <c r="V9" s="2" t="inlineStr">
        <is>
          <t>1.1</t>
        </is>
      </c>
      <c r="W9" s="2" t="inlineStr">
        <is>
          <t>–</t>
        </is>
      </c>
      <c r="X9" s="2" t="inlineStr">
        <is>
          <t>–</t>
        </is>
      </c>
      <c r="Y9" s="2" t="inlineStr">
        <is>
          <t>Glass U (1.1) &gt; whole-window U (0.9) with frame U 0.7: check consistency.</t>
        </is>
      </c>
    </row>
    <row r="10" ht="46.5" customHeight="1">
      <c r="A10" s="2" t="inlineStr">
        <is>
          <t>A09</t>
        </is>
      </c>
      <c r="B10" s="2" t="inlineStr">
        <is>
          <t>T9</t>
        </is>
      </c>
      <c r="C10" s="2" t="inlineStr">
        <is>
          <t>Frame Material / frame U</t>
        </is>
      </c>
      <c r="D10" s="2" t="inlineStr">
        <is>
          <t>Face / Aperture</t>
        </is>
      </c>
      <c r="E10" s="2" t="inlineStr">
        <is>
          <t>pr_WindowFrameMaterial, pr_WindowFrameThermalTrasmittance</t>
        </is>
      </c>
      <c r="F10" s="2" t="inlineStr">
        <is>
          <t>IfcWindow / IfcDoor / IfcWall</t>
        </is>
      </c>
      <c r="G10" s="2" t="inlineStr">
        <is>
          <t>Other (IfcWindow/IfcDoor) – Altro in B09</t>
        </is>
      </c>
      <c r="H10" s="2" t="inlineStr">
        <is>
          <t>pr_FrameMaterial, pr_FrameThermalTrasmittance</t>
        </is>
      </c>
      <c r="I10" s="2" t="inlineStr">
        <is>
          <t>not read</t>
        </is>
      </c>
      <c r="J10" s="2" t="inlineStr">
        <is>
          <t>text / W/m²K</t>
        </is>
      </c>
      <c r="K10" s="2" t="inlineStr">
        <is>
          <t>–</t>
        </is>
      </c>
      <c r="L10" s="2" t="inlineStr">
        <is>
          <t>–</t>
        </is>
      </c>
      <c r="M10" s="2" t="inlineStr">
        <is>
          <t>–</t>
        </is>
      </c>
      <c r="N10" s="2" t="inlineStr">
        <is>
          <t>(WindowProperty:FrameAndDivider not generated)</t>
        </is>
      </c>
      <c r="O10" s="2" t="inlineStr">
        <is>
          <t>–</t>
        </is>
      </c>
      <c r="P10" s="2" t="inlineStr">
        <is>
          <t>–</t>
        </is>
      </c>
      <c r="Q10" s="2" t="inlineStr">
        <is>
          <t>–</t>
        </is>
      </c>
      <c r="R10" s="2" t="inlineStr">
        <is>
          <t>–</t>
        </is>
      </c>
      <c r="S10" s="13" t="inlineStr">
        <is>
          <t>No</t>
        </is>
      </c>
      <c r="T10" s="2" t="inlineStr">
        <is>
          <t>–</t>
        </is>
      </c>
      <c r="U10" s="2" t="inlineStr">
        <is>
          <t>Aluminium; 0.7</t>
        </is>
      </c>
      <c r="V10" s="2" t="inlineStr">
        <is>
          <t>Aluminium; 0.7</t>
        </is>
      </c>
      <c r="W10" s="2" t="inlineStr">
        <is>
          <t>–</t>
        </is>
      </c>
      <c r="X10" s="2" t="inlineStr">
        <is>
          <t>–</t>
        </is>
      </c>
      <c r="Y10" s="2" t="n"/>
    </row>
    <row r="11" ht="46.5" customHeight="1">
      <c r="A11" s="2" t="inlineStr">
        <is>
          <t>A10</t>
        </is>
      </c>
      <c r="B11" s="2" t="inlineStr">
        <is>
          <t>T9</t>
        </is>
      </c>
      <c r="C11" s="2" t="inlineStr">
        <is>
          <t>Glazing Area Fraction</t>
        </is>
      </c>
      <c r="D11" s="2" t="inlineStr">
        <is>
          <t>Face / Aperture</t>
        </is>
      </c>
      <c r="E11" s="2" t="inlineStr">
        <is>
          <t>pr_WindowGlazingAreaFraction / pr_GlazingAreaFraction</t>
        </is>
      </c>
      <c r="F11" s="2" t="inlineStr">
        <is>
          <t>IfcWindow / IfcDoor / IfcWall</t>
        </is>
      </c>
      <c r="G11" s="2" t="inlineStr">
        <is>
          <t>Other (IfcWindow/IfcDoor) – Altro in B09</t>
        </is>
      </c>
      <c r="H11" s="2" t="inlineStr">
        <is>
          <t>pr_GlazingAreaFraction</t>
        </is>
      </c>
      <c r="I11" s="2" t="inlineStr">
        <is>
          <t>not read</t>
        </is>
      </c>
      <c r="J11" s="2" t="inlineStr">
        <is>
          <t>–</t>
        </is>
      </c>
      <c r="K11" s="2" t="inlineStr">
        <is>
          <t>–</t>
        </is>
      </c>
      <c r="L11" s="2" t="inlineStr">
        <is>
          <t>–</t>
        </is>
      </c>
      <c r="M11" s="2" t="inlineStr">
        <is>
          <t>–</t>
        </is>
      </c>
      <c r="N11" s="2" t="inlineStr">
        <is>
          <t>–</t>
        </is>
      </c>
      <c r="O11" s="2" t="inlineStr">
        <is>
          <t>–</t>
        </is>
      </c>
      <c r="P11" s="2" t="inlineStr">
        <is>
          <t>–</t>
        </is>
      </c>
      <c r="Q11" s="2" t="inlineStr">
        <is>
          <t>–</t>
        </is>
      </c>
      <c r="R11" s="2" t="inlineStr">
        <is>
          <t>–</t>
        </is>
      </c>
      <c r="S11" s="13" t="inlineStr">
        <is>
          <t>No</t>
        </is>
      </c>
      <c r="T11" s="2" t="inlineStr">
        <is>
          <t>–</t>
        </is>
      </c>
      <c r="U11" s="2" t="inlineStr">
        <is>
          <t>0.8</t>
        </is>
      </c>
      <c r="V11" s="2" t="inlineStr">
        <is>
          <t>0.8</t>
        </is>
      </c>
      <c r="W11" s="2" t="inlineStr">
        <is>
          <t>–</t>
        </is>
      </c>
      <c r="X11" s="2" t="inlineStr">
        <is>
          <t>–</t>
        </is>
      </c>
      <c r="Y11" s="2" t="inlineStr">
        <is>
          <t>See A02: curtain-wall glazing = 0.81 by geometry.</t>
        </is>
      </c>
    </row>
    <row r="12" ht="46.5" customHeight="1">
      <c r="A12" s="2" t="inlineStr">
        <is>
          <t>A11</t>
        </is>
      </c>
      <c r="B12" s="2" t="inlineStr">
        <is>
          <t>T9</t>
        </is>
      </c>
      <c r="C12" s="2" t="inlineStr">
        <is>
          <t>Width / Height</t>
        </is>
      </c>
      <c r="D12" s="2" t="inlineStr">
        <is>
          <t>Aperture</t>
        </is>
      </c>
      <c r="E12" s="2" t="inlineStr">
        <is>
          <t>pr_Width, pr_Heigth (sic)</t>
        </is>
      </c>
      <c r="F12" s="2" t="inlineStr">
        <is>
          <t>IfcWindow / IfcDoor</t>
        </is>
      </c>
      <c r="G12" s="2" t="inlineStr">
        <is>
          <t>Other (IfcWindow/IfcDoor) – Altro in B09</t>
        </is>
      </c>
      <c r="H12" s="2" t="inlineStr">
        <is>
          <t>pr_Width, pr_Heigth</t>
        </is>
      </c>
      <c r="I12" s="2" t="inlineStr">
        <is>
          <t>not read (geometry used instead)</t>
        </is>
      </c>
      <c r="J12" s="2" t="inlineStr">
        <is>
          <t>cm</t>
        </is>
      </c>
      <c r="K12" s="2" t="inlineStr">
        <is>
          <t>–</t>
        </is>
      </c>
      <c r="L12" s="2" t="inlineStr">
        <is>
          <t>Aperture</t>
        </is>
      </c>
      <c r="M12" s="2" t="inlineStr">
        <is>
          <t>geometry from aperture face vertices</t>
        </is>
      </c>
      <c r="N12" s="2" t="inlineStr">
        <is>
          <t>FenestrationSurface:Detailed</t>
        </is>
      </c>
      <c r="O12" s="2" t="inlineStr">
        <is>
          <t>Vertex_n_X/Y/Zcoordinate</t>
        </is>
      </c>
      <c r="P12" s="2" t="inlineStr">
        <is>
          <t>m</t>
        </is>
      </c>
      <c r="Q12" s="2" t="inlineStr">
        <is>
          <t>÷ 100</t>
        </is>
      </c>
      <c r="R12" s="2" t="inlineStr">
        <is>
          <t>–</t>
        </is>
      </c>
      <c r="S12" s="14" t="inlineStr">
        <is>
          <t>Partial</t>
        </is>
      </c>
      <c r="T12" s="2" t="inlineStr">
        <is>
          <t>HB.HBFacesByTopologicZone</t>
        </is>
      </c>
      <c r="U12" s="2" t="inlineStr">
        <is>
          <t>None</t>
        </is>
      </c>
      <c r="V12" s="2" t="inlineStr">
        <is>
          <t>per aperture</t>
        </is>
      </c>
      <c r="W12" s="2" t="inlineStr">
        <is>
          <t>–</t>
        </is>
      </c>
      <c r="X12" s="2" t="inlineStr">
        <is>
          <t>–</t>
        </is>
      </c>
      <c r="Y12" s="2" t="inlineStr">
        <is>
          <t>Paper values (2.80 × 1.50 m) are not model values.</t>
        </is>
      </c>
    </row>
    <row r="13" ht="46.5" customHeight="1">
      <c r="A13" s="2" t="inlineStr">
        <is>
          <t>A12</t>
        </is>
      </c>
      <c r="B13" s="2" t="inlineStr">
        <is>
          <t>T9</t>
        </is>
      </c>
      <c r="C13" s="2" t="inlineStr">
        <is>
          <t>Wind Load Rating</t>
        </is>
      </c>
      <c r="D13" s="2" t="inlineStr">
        <is>
          <t>Face / Aperture</t>
        </is>
      </c>
      <c r="E13" s="2" t="inlineStr">
        <is>
          <t>pr_WindowWindLoadRating / pr_WindLoadRating</t>
        </is>
      </c>
      <c r="F13" s="2" t="inlineStr">
        <is>
          <t>IfcWindow</t>
        </is>
      </c>
      <c r="G13" s="2" t="inlineStr">
        <is>
          <t>Other (IfcWindow/IfcDoor) – Altro in B09</t>
        </is>
      </c>
      <c r="H13" s="2" t="inlineStr">
        <is>
          <t>pr_WindLoadRating</t>
        </is>
      </c>
      <c r="I13" s="2" t="inlineStr">
        <is>
          <t>not read</t>
        </is>
      </c>
      <c r="J13" s="2" t="inlineStr">
        <is>
          <t>class</t>
        </is>
      </c>
      <c r="K13" s="2" t="inlineStr">
        <is>
          <t>–</t>
        </is>
      </c>
      <c r="L13" s="2" t="inlineStr">
        <is>
          <t>–</t>
        </is>
      </c>
      <c r="M13" s="2" t="inlineStr">
        <is>
          <t>–</t>
        </is>
      </c>
      <c r="N13" s="2" t="inlineStr">
        <is>
          <t>–</t>
        </is>
      </c>
      <c r="O13" s="2" t="inlineStr">
        <is>
          <t>–</t>
        </is>
      </c>
      <c r="P13" s="2" t="inlineStr">
        <is>
          <t>–</t>
        </is>
      </c>
      <c r="Q13" s="2" t="inlineStr">
        <is>
          <t>–</t>
        </is>
      </c>
      <c r="R13" s="2" t="inlineStr">
        <is>
          <t>–</t>
        </is>
      </c>
      <c r="S13" s="13" t="inlineStr">
        <is>
          <t>No</t>
        </is>
      </c>
      <c r="T13" s="2" t="inlineStr">
        <is>
          <t>–</t>
        </is>
      </c>
      <c r="U13" s="2" t="inlineStr">
        <is>
          <t>A4</t>
        </is>
      </c>
      <c r="V13" s="2" t="inlineStr">
        <is>
          <t>A3</t>
        </is>
      </c>
      <c r="W13" s="2" t="inlineStr">
        <is>
          <t>–</t>
        </is>
      </c>
      <c r="X13" s="2" t="inlineStr">
        <is>
          <t>–</t>
        </is>
      </c>
      <c r="Y13" s="2" t="n"/>
    </row>
    <row r="14" ht="46.5" customHeight="1">
      <c r="A14" s="2" t="inlineStr">
        <is>
          <t>A13</t>
        </is>
      </c>
      <c r="B14" s="2" t="inlineStr">
        <is>
          <t>– (new)</t>
        </is>
      </c>
      <c r="C14" s="2" t="inlineStr">
        <is>
          <t>Aperture identifier / host</t>
        </is>
      </c>
      <c r="D14" s="2" t="inlineStr">
        <is>
          <t>Aperture</t>
        </is>
      </c>
      <c r="E14" s="2" t="inlineStr">
        <is>
          <t>UID, uuid, rl_HasLocation_inFC</t>
        </is>
      </c>
      <c r="F14" s="2" t="inlineStr">
        <is>
          <t>IfcWindow / IfcDoor</t>
        </is>
      </c>
      <c r="G14" s="2" t="inlineStr">
        <is>
          <t>Other (IfcWindow/IfcDoor) – Altro in B09</t>
        </is>
      </c>
      <c r="H14" s="2" t="inlineStr">
        <is>
          <t>UID</t>
        </is>
      </c>
      <c r="I14" s="2" t="inlineStr">
        <is>
          <t>Topologic JSON</t>
        </is>
      </c>
      <c r="J14" s="2" t="inlineStr">
        <is>
          <t>id</t>
        </is>
      </c>
      <c r="K14" s="2" t="inlineStr">
        <is>
          <t>–</t>
        </is>
      </c>
      <c r="L14" s="2" t="inlineStr">
        <is>
          <t>Aperture / Face</t>
        </is>
      </c>
      <c r="M14" s="2" t="inlineStr">
        <is>
          <t>identifier '{UID}-{uuid}'; Face.add_apertures</t>
        </is>
      </c>
      <c r="N14" s="2" t="inlineStr">
        <is>
          <t>FenestrationSurface:Detailed</t>
        </is>
      </c>
      <c r="O14" s="2" t="inlineStr">
        <is>
          <t>Name / Building_Surface_Name</t>
        </is>
      </c>
      <c r="P14" s="2" t="inlineStr">
        <is>
          <t>–</t>
        </is>
      </c>
      <c r="Q14" s="2" t="inlineStr">
        <is>
          <t>string</t>
        </is>
      </c>
      <c r="R14" s="2" t="inlineStr">
        <is>
          <t>–</t>
        </is>
      </c>
      <c r="S14" s="10" t="inlineStr">
        <is>
          <t>Yes</t>
        </is>
      </c>
      <c r="T14" s="2" t="inlineStr">
        <is>
          <t>HB.HBFacesByTopologicZone</t>
        </is>
      </c>
      <c r="U14" s="2" t="inlineStr">
        <is>
          <t>–</t>
        </is>
      </c>
      <c r="V14" s="2" t="inlineStr">
        <is>
          <t>–</t>
        </is>
      </c>
      <c r="W14" s="2" t="inlineStr">
        <is>
          <t>–</t>
        </is>
      </c>
      <c r="X14" s="2" t="inlineStr">
        <is>
          <t>–</t>
        </is>
      </c>
      <c r="Y14" s="2" t="n"/>
    </row>
    <row r="15" ht="93" customHeight="1">
      <c r="A15" s="2" t="inlineStr">
        <is>
          <t>A14</t>
        </is>
      </c>
      <c r="B15" s="2" t="inlineStr">
        <is>
          <t>– (new)</t>
        </is>
      </c>
      <c r="C15" s="2" t="inlineStr">
        <is>
          <t>External blinds</t>
        </is>
      </c>
      <c r="D15" s="2" t="inlineStr">
        <is>
          <t>Aperture</t>
        </is>
      </c>
      <c r="E15" s="2" t="inlineStr">
        <is>
          <t>(list fenestrationSurfaceWithBlinds in nb)</t>
        </is>
      </c>
      <c r="F15" s="2" t="inlineStr">
        <is>
          <t>–</t>
        </is>
      </c>
      <c r="G15" s="2" t="inlineStr">
        <is>
          <t>–</t>
        </is>
      </c>
      <c r="H15" s="2" t="inlineStr">
        <is>
          <t>–</t>
        </is>
      </c>
      <c r="I15" s="2" t="inlineStr">
        <is>
          <t>notebook constant</t>
        </is>
      </c>
      <c r="J15" s="2" t="inlineStr">
        <is>
          <t>–</t>
        </is>
      </c>
      <c r="K15" s="2" t="inlineStr">
        <is>
          <t>–</t>
        </is>
      </c>
      <c r="L15" s="2" t="inlineStr">
        <is>
          <t>–</t>
        </is>
      </c>
      <c r="M15" s="2" t="inlineStr">
        <is>
          <t>–</t>
        </is>
      </c>
      <c r="N15" s="2" t="inlineStr">
        <is>
          <t>WindowMaterial:Blind + WindowShadingControl + Construction '…-withBlinds-…'</t>
        </is>
      </c>
      <c r="O15" s="2" t="inlineStr">
        <is>
          <t>Slat width 0.30 m, separation 0.50 m, thickness 0.001 m, angle 90° (min 85, max 95), λ 160 W/m·K, beam/diffuse solar refl. 0.6, visible refl. 0.5, IR emissivity 0.9, blind-to-glass 0.30 m, side openings 0.5; Shading_Type ExteriorBlind, Control AlwaysOn, FixedSlatAngle</t>
        </is>
      </c>
      <c r="P15" s="2" t="inlineStr">
        <is>
          <t>SI</t>
        </is>
      </c>
      <c r="Q15" s="2" t="inlineStr">
        <is>
          <t>constants</t>
        </is>
      </c>
      <c r="R15" s="2" t="inlineStr">
        <is>
          <t>–</t>
        </is>
      </c>
      <c r="S15" s="14" t="inlineStr">
        <is>
          <t>Partial</t>
        </is>
      </c>
      <c r="T15" s="2" t="inlineStr">
        <is>
          <t>TopologicCellComplexToIDF 'BLINDS'</t>
        </is>
      </c>
      <c r="U15" s="2" t="inlineStr">
        <is>
          <t>11 curtain-wall surfaces</t>
        </is>
      </c>
      <c r="V15" s="2" t="inlineStr">
        <is>
          <t>3 curtain walls + 1 window</t>
        </is>
      </c>
      <c r="W15" s="2" t="inlineStr">
        <is>
          <t>B09: 11 controls | B10: 4</t>
        </is>
      </c>
      <c r="X15" s="2" t="inlineStr">
        <is>
          <t>same</t>
        </is>
      </c>
      <c r="Y15" s="2" t="inlineStr">
        <is>
          <t>Not derived from BIM; consider adding an IFC shading device property.</t>
        </is>
      </c>
    </row>
  </sheetData>
  <autoFilter ref="A1:Y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25"/>
  <cols>
    <col width="6" customWidth="1" min="1" max="1"/>
    <col width="20" customWidth="1" min="2" max="2"/>
    <col width="14" customWidth="1" min="3" max="3"/>
    <col width="26" customWidth="1" min="4" max="4"/>
    <col width="10" customWidth="1" min="5" max="5"/>
    <col width="14" customWidth="1" min="6" max="6"/>
    <col width="22" customWidth="1" min="7" max="7"/>
    <col width="50" customWidth="1" min="8" max="8"/>
    <col width="18" customWidth="1" min="9" max="9"/>
    <col width="22" customWidth="1" min="10" max="10"/>
    <col width="28" customWidth="1" min="11" max="11"/>
    <col width="40" customWidth="1" min="12" max="12"/>
    <col width="8" customWidth="1" min="13" max="13"/>
    <col width="32" customWidth="1" min="14" max="14"/>
    <col width="18" customWidth="1" min="15" max="16"/>
    <col width="40" customWidth="1" min="17" max="17"/>
  </cols>
  <sheetData>
    <row r="1" ht="26.25" customHeight="1">
      <c r="A1" s="1" t="inlineStr">
        <is>
          <t>ID</t>
        </is>
      </c>
      <c r="B1" s="1" t="inlineStr">
        <is>
          <t>Topic</t>
        </is>
      </c>
      <c r="C1" s="1" t="inlineStr">
        <is>
          <t>Topologic entity</t>
        </is>
      </c>
      <c r="D1" s="1" t="inlineStr">
        <is>
          <t>Topologic key(s)</t>
        </is>
      </c>
      <c r="E1" s="1" t="inlineStr">
        <is>
          <t>IFC entity</t>
        </is>
      </c>
      <c r="F1" s="1" t="inlineStr">
        <is>
          <t>IFC detail</t>
        </is>
      </c>
      <c r="G1" s="1" t="inlineStr">
        <is>
          <t>Source</t>
        </is>
      </c>
      <c r="H1" s="1" t="inlineStr">
        <is>
          <t>Rule / value</t>
        </is>
      </c>
      <c r="I1" s="1" t="inlineStr">
        <is>
          <t>Honeybee object</t>
        </is>
      </c>
      <c r="J1" s="1" t="inlineStr">
        <is>
          <t>Honeybee attribute</t>
        </is>
      </c>
      <c r="K1" s="1" t="inlineStr">
        <is>
          <t>EnergyPlus object</t>
        </is>
      </c>
      <c r="L1" s="1" t="inlineStr">
        <is>
          <t>EnergyPlus field(s)</t>
        </is>
      </c>
      <c r="M1" s="1" t="inlineStr">
        <is>
          <t>In IDF?</t>
        </is>
      </c>
      <c r="N1" s="1" t="inlineStr">
        <is>
          <t>Implementation</t>
        </is>
      </c>
      <c r="O1" s="1" t="inlineStr">
        <is>
          <t>Value B09</t>
        </is>
      </c>
      <c r="P1" s="1" t="inlineStr">
        <is>
          <t>Value B10</t>
        </is>
      </c>
      <c r="Q1" s="1" t="inlineStr">
        <is>
          <t>Notes</t>
        </is>
      </c>
    </row>
    <row r="2" ht="58.15" customHeight="1">
      <c r="A2" s="2" t="inlineStr">
        <is>
          <t>M01</t>
        </is>
      </c>
      <c r="B2" s="2" t="inlineStr">
        <is>
          <t>Zoning: clustering</t>
        </is>
      </c>
      <c r="C2" s="2" t="inlineStr">
        <is>
          <t>Cell</t>
        </is>
      </c>
      <c r="D2" s="2" t="inlineStr">
        <is>
          <t>pr_IsOccupied, pr_IsHeated, pr_IsCooled, pr_OccupancyDensityOperation</t>
        </is>
      </c>
      <c r="E2" s="2" t="inlineStr">
        <is>
          <t>IfcSpace</t>
        </is>
      </c>
      <c r="F2" s="2" t="inlineStr">
        <is>
          <t>→ IfcZone (exported)</t>
        </is>
      </c>
      <c r="G2" s="2" t="inlineStr">
        <is>
          <t>Topologic JSON</t>
        </is>
      </c>
      <c r="H2" s="2" t="inlineStr">
        <is>
          <t>K-Means (n_clusters = 6, StandardScaler, random_state = 14); single-cell zones for LectureHall, Research Lab, GeneralStorage; stairs/elevators → adjacent corridor; HorizontalInfrastructure → corridor/stair, then restroom; split by adjacency; excluded cells notUsefullCellUIDs</t>
        </is>
      </c>
      <c r="I2" s="2" t="inlineStr">
        <is>
          <t>Room</t>
        </is>
      </c>
      <c r="J2" s="2" t="inlineStr">
        <is>
          <t>one Room per zone CellComplex</t>
        </is>
      </c>
      <c r="K2" s="2" t="inlineStr">
        <is>
          <t>Zone</t>
        </is>
      </c>
      <c r="L2" s="2" t="inlineStr">
        <is>
          <t>Name, Multiplier = 1, Volume/Area autocalculate</t>
        </is>
      </c>
      <c r="M2" s="10" t="inlineStr">
        <is>
          <t>Yes</t>
        </is>
      </c>
      <c r="N2" s="2" t="inlineStr">
        <is>
          <t>TBIM.Cells_ClusterizeIntoEnergyZones (Operation.py:1517; inline copy in B09 nb)</t>
        </is>
      </c>
      <c r="O2" s="2" t="inlineStr">
        <is>
          <t>B09: 65 zones (incl. 12 'debugZone')</t>
        </is>
      </c>
      <c r="P2" s="2" t="inlineStr">
        <is>
          <t>B10: 20 zones</t>
        </is>
      </c>
      <c r="Q2" s="2" t="inlineStr">
        <is>
          <t>Excluded B09: Cell59, 115–125, 153; B10: Cell3, 22–25, 29.</t>
        </is>
      </c>
    </row>
    <row r="3" ht="23.25" customHeight="1">
      <c r="A3" s="2" t="inlineStr">
        <is>
          <t>M02</t>
        </is>
      </c>
      <c r="B3" s="2" t="inlineStr">
        <is>
          <t>Zoning: data inheritance</t>
        </is>
      </c>
      <c r="C3" s="2" t="inlineStr">
        <is>
          <t>Zone CellComplex</t>
        </is>
      </c>
      <c r="D3" s="2" t="inlineStr">
        <is>
          <t>see Map_Spaces 'Cell → zone aggregation'</t>
        </is>
      </c>
      <c r="E3" s="2" t="inlineStr">
        <is>
          <t>–</t>
        </is>
      </c>
      <c r="F3" s="2" t="inlineStr">
        <is>
          <t>–</t>
        </is>
      </c>
      <c r="G3" s="2" t="inlineStr">
        <is>
          <t>Topologic</t>
        </is>
      </c>
      <c r="H3" s="2" t="inlineStr">
        <is>
          <t>OR / area-weighted / occupant-weighted / min / max / prevalent</t>
        </is>
      </c>
      <c r="I3" s="2" t="inlineStr">
        <is>
          <t>Room</t>
        </is>
      </c>
      <c r="J3" s="2" t="inlineStr">
        <is>
          <t>–</t>
        </is>
      </c>
      <c r="K3" s="2" t="inlineStr">
        <is>
          <t>People, Lights, …</t>
        </is>
      </c>
      <c r="L3" s="2" t="inlineStr">
        <is>
          <t>–</t>
        </is>
      </c>
      <c r="M3" s="10" t="inlineStr">
        <is>
          <t>Yes</t>
        </is>
      </c>
      <c r="N3" s="2" t="inlineStr">
        <is>
          <t>Utils.TopologicZoneInheritSpaceData (Operation.py:4)</t>
        </is>
      </c>
      <c r="O3" s="2" t="n"/>
      <c r="P3" s="2" t="n"/>
      <c r="Q3" s="2" t="inlineStr">
        <is>
          <t>Bug: schedules and pr_MechanicalVentilationRate take the last cell's value.</t>
        </is>
      </c>
    </row>
    <row r="4">
      <c r="A4" s="2" t="inlineStr">
        <is>
          <t>M03</t>
        </is>
      </c>
      <c r="B4" s="2" t="inlineStr">
        <is>
          <t>Geometry units</t>
        </is>
      </c>
      <c r="C4" s="2" t="inlineStr">
        <is>
          <t>Vertex</t>
        </is>
      </c>
      <c r="D4" s="2" t="inlineStr">
        <is>
          <t>X, Y, Z</t>
        </is>
      </c>
      <c r="E4" s="2" t="inlineStr">
        <is>
          <t>–</t>
        </is>
      </c>
      <c r="F4" s="2" t="inlineStr">
        <is>
          <t>–</t>
        </is>
      </c>
      <c r="G4" s="2" t="inlineStr">
        <is>
          <t>Topologic</t>
        </is>
      </c>
      <c r="H4" s="2" t="inlineStr">
        <is>
          <t>cm → m (÷ 100)</t>
        </is>
      </c>
      <c r="I4" s="2" t="inlineStr">
        <is>
          <t>Face3D / Point3D</t>
        </is>
      </c>
      <c r="J4" s="2" t="inlineStr">
        <is>
          <t>–</t>
        </is>
      </c>
      <c r="K4" s="2" t="inlineStr">
        <is>
          <t>BuildingSurface:Detailed</t>
        </is>
      </c>
      <c r="L4" s="2" t="inlineStr">
        <is>
          <t>vertices</t>
        </is>
      </c>
      <c r="M4" s="10" t="inlineStr">
        <is>
          <t>Yes</t>
        </is>
      </c>
      <c r="N4" s="2" t="inlineStr">
        <is>
          <t>HB.HBFacesByTopologicZone</t>
        </is>
      </c>
      <c r="O4" s="2" t="n"/>
      <c r="P4" s="2" t="n"/>
      <c r="Q4" s="2" t="n"/>
    </row>
    <row r="5" ht="23.25" customHeight="1">
      <c r="A5" s="2" t="inlineStr">
        <is>
          <t>M04</t>
        </is>
      </c>
      <c r="B5" s="2" t="inlineStr">
        <is>
          <t>Room creation</t>
        </is>
      </c>
      <c r="C5" s="2" t="inlineStr">
        <is>
          <t>Zone CellComplex + Faces</t>
        </is>
      </c>
      <c r="D5" s="2" t="inlineStr">
        <is>
          <t>–</t>
        </is>
      </c>
      <c r="E5" s="2" t="inlineStr">
        <is>
          <t>–</t>
        </is>
      </c>
      <c r="F5" s="2" t="inlineStr">
        <is>
          <t>–</t>
        </is>
      </c>
      <c r="G5" s="2" t="inlineStr">
        <is>
          <t>Topologic</t>
        </is>
      </c>
      <c r="H5" s="2" t="inlineStr">
        <is>
          <t>HBRoom(identifier, faces, tolerance = 0.01 m, angle tolerance = 1°); Room.solve_adjacency(0.01)</t>
        </is>
      </c>
      <c r="I5" s="2" t="inlineStr">
        <is>
          <t>Room</t>
        </is>
      </c>
      <c r="J5" s="2" t="inlineStr">
        <is>
          <t>identifier, faces, story</t>
        </is>
      </c>
      <c r="K5" s="2" t="inlineStr">
        <is>
          <t>Zone + BuildingSurface:Detailed</t>
        </is>
      </c>
      <c r="L5" s="2" t="inlineStr">
        <is>
          <t>–</t>
        </is>
      </c>
      <c r="M5" s="10" t="inlineStr">
        <is>
          <t>Yes</t>
        </is>
      </c>
      <c r="N5" s="2" t="inlineStr">
        <is>
          <t>TopologicCellComplexToIDF</t>
        </is>
      </c>
      <c r="O5" s="2" t="n"/>
      <c r="P5" s="2" t="n"/>
      <c r="Q5" s="2" t="n"/>
    </row>
    <row r="6" ht="34.9" customHeight="1">
      <c r="A6" s="2" t="inlineStr">
        <is>
          <t>M05</t>
        </is>
      </c>
      <c r="B6" s="2" t="inlineStr">
        <is>
          <t>Context shading</t>
        </is>
      </c>
      <c r="C6" s="2" t="inlineStr">
        <is>
          <t>Face (BRep)</t>
        </is>
      </c>
      <c r="D6" s="2" t="inlineStr">
        <is>
          <t>–</t>
        </is>
      </c>
      <c r="E6" s="2" t="inlineStr">
        <is>
          <t>–</t>
        </is>
      </c>
      <c r="F6" s="2" t="inlineStr">
        <is>
          <t>–</t>
        </is>
      </c>
      <c r="G6" s="2" t="inlineStr">
        <is>
          <t>BRep files *_Shades-Balconies / -ContextBuildings / -AdjacentBuildings.brep</t>
        </is>
      </c>
      <c r="H6" s="2" t="inlineStr">
        <is>
          <t>cm → m; Vegetation BRep not used</t>
        </is>
      </c>
      <c r="I6" s="2" t="inlineStr">
        <is>
          <t>Shade (is_detached = True)</t>
        </is>
      </c>
      <c r="J6" s="2" t="inlineStr">
        <is>
          <t>identifier 'shade{j}-{i}'</t>
        </is>
      </c>
      <c r="K6" s="2" t="inlineStr">
        <is>
          <t>Shading:Building:Detailed</t>
        </is>
      </c>
      <c r="L6" s="2" t="inlineStr">
        <is>
          <t>Name, vertices</t>
        </is>
      </c>
      <c r="M6" s="10" t="inlineStr">
        <is>
          <t>Yes</t>
        </is>
      </c>
      <c r="N6" s="2" t="inlineStr">
        <is>
          <t>HB.HBShadesByTopologicBRepPaths</t>
        </is>
      </c>
      <c r="O6" s="2" t="inlineStr">
        <is>
          <t>88 shades</t>
        </is>
      </c>
      <c r="P6" s="2" t="inlineStr">
        <is>
          <t>79 shades</t>
        </is>
      </c>
      <c r="Q6" s="2" t="inlineStr">
        <is>
          <t>Shades are opaque, no transmittance schedule.</t>
        </is>
      </c>
    </row>
    <row r="7" ht="34.9" customHeight="1">
      <c r="A7" s="2" t="inlineStr">
        <is>
          <t>M06</t>
        </is>
      </c>
      <c r="B7" s="2" t="inlineStr">
        <is>
          <t>HB program (base loads)</t>
        </is>
      </c>
      <c r="C7" s="2" t="inlineStr">
        <is>
          <t>–</t>
        </is>
      </c>
      <c r="D7" s="2" t="inlineStr">
        <is>
          <t>–</t>
        </is>
      </c>
      <c r="E7" s="2" t="inlineStr">
        <is>
          <t>–</t>
        </is>
      </c>
      <c r="F7" s="2" t="inlineStr">
        <is>
          <t>–</t>
        </is>
      </c>
      <c r="G7" s="2" t="inlineStr">
        <is>
          <t>HB library</t>
        </is>
      </c>
      <c r="H7" s="2" t="inlineStr">
        <is>
          <t>honeybee_energy.lib.programtypes.office_program, then People/Lights/Equipment/OA overwritten by Eppy</t>
        </is>
      </c>
      <c r="I7" s="2" t="inlineStr">
        <is>
          <t>Room</t>
        </is>
      </c>
      <c r="J7" s="2" t="inlineStr">
        <is>
          <t>properties.energy.program_type</t>
        </is>
      </c>
      <c r="K7" s="2" t="inlineStr">
        <is>
          <t>People, Lights, ElectricEquipment, ZoneInfiltration, DesignSpecification:OutdoorAir</t>
        </is>
      </c>
      <c r="L7" s="2" t="inlineStr">
        <is>
          <t>names 'Generic Office …'</t>
        </is>
      </c>
      <c r="M7" s="14" t="inlineStr">
        <is>
          <t>Partial</t>
        </is>
      </c>
      <c r="N7" s="2" t="inlineStr">
        <is>
          <t>HB.HBRoomSetSetpointSchedules</t>
        </is>
      </c>
      <c r="O7" s="2" t="n"/>
      <c r="P7" s="2" t="n"/>
      <c r="Q7" s="2" t="inlineStr">
        <is>
          <t>Activity 'Seated Adult Activity', infiltration schedule 'Generic Office Infiltration' stay from the office program.</t>
        </is>
      </c>
    </row>
    <row r="8" ht="46.5" customHeight="1">
      <c r="A8" s="2" t="inlineStr">
        <is>
          <t>M07</t>
        </is>
      </c>
      <c r="B8" s="2" t="inlineStr">
        <is>
          <t>Ideal loads HVAC</t>
        </is>
      </c>
      <c r="C8" s="2" t="inlineStr">
        <is>
          <t>–</t>
        </is>
      </c>
      <c r="D8" s="2" t="inlineStr">
        <is>
          <t>–</t>
        </is>
      </c>
      <c r="E8" s="2" t="inlineStr">
        <is>
          <t>–</t>
        </is>
      </c>
      <c r="F8" s="2" t="inlineStr">
        <is>
          <t>–</t>
        </is>
      </c>
      <c r="G8" s="2" t="inlineStr">
        <is>
          <t>HB default</t>
        </is>
      </c>
      <c r="H8" s="2" t="inlineStr">
        <is>
          <t>add_default_ideal_air()</t>
        </is>
      </c>
      <c r="I8" s="2" t="inlineStr">
        <is>
          <t>Room</t>
        </is>
      </c>
      <c r="J8" s="2" t="inlineStr">
        <is>
          <t>properties.energy.hvac (IdealAirSystem)</t>
        </is>
      </c>
      <c r="K8" s="2" t="inlineStr">
        <is>
          <t>HVACTemplate:Zone:IdealLoadsAirSystem</t>
        </is>
      </c>
      <c r="L8" s="2" t="inlineStr">
        <is>
          <t>Max heating SAT 50 °C; min cooling SAT 13 °C; heating limit LimitCapacity (autosize); cooling limit LimitFlowRateAndCapacity (autosize); economizer DifferentialDryBulb; heat recovery None; DCV None</t>
        </is>
      </c>
      <c r="M8" s="14" t="inlineStr">
        <is>
          <t>Partial</t>
        </is>
      </c>
      <c r="N8" s="2" t="inlineStr">
        <is>
          <t>HB.HBRoomSetSetpointSchedules</t>
        </is>
      </c>
      <c r="O8" s="2" t="n"/>
      <c r="P8" s="2" t="n"/>
      <c r="Q8" s="2" t="inlineStr">
        <is>
          <t>No AHU capacity caps (paper: 7,200 / 11,000 m³/h).</t>
        </is>
      </c>
    </row>
    <row r="9" ht="23.25" customHeight="1">
      <c r="A9" s="2" t="inlineStr">
        <is>
          <t>M08</t>
        </is>
      </c>
      <c r="B9" s="2" t="inlineStr">
        <is>
          <t>Thermostat</t>
        </is>
      </c>
      <c r="C9" s="2" t="inlineStr">
        <is>
          <t>–</t>
        </is>
      </c>
      <c r="D9" s="2" t="inlineStr">
        <is>
          <t>–</t>
        </is>
      </c>
      <c r="E9" s="2" t="inlineStr">
        <is>
          <t>–</t>
        </is>
      </c>
      <c r="F9" s="2" t="inlineStr">
        <is>
          <t>–</t>
        </is>
      </c>
      <c r="G9" s="2" t="inlineStr">
        <is>
          <t>HB constant</t>
        </is>
      </c>
      <c r="H9" s="2" t="inlineStr">
        <is>
          <t>Setpoint('Room Setpoint', heating 20 °C, cooling 26 °C)</t>
        </is>
      </c>
      <c r="I9" s="2" t="inlineStr">
        <is>
          <t>Room</t>
        </is>
      </c>
      <c r="J9" s="2" t="inlineStr">
        <is>
          <t>properties.energy.setpoint</t>
        </is>
      </c>
      <c r="K9" s="2" t="inlineStr">
        <is>
          <t>HVACTemplate:Thermostat + Schedule:Constant</t>
        </is>
      </c>
      <c r="L9" s="2" t="inlineStr">
        <is>
          <t>Heating/Cooling_Setpoint_Schedule_Name</t>
        </is>
      </c>
      <c r="M9" s="14" t="inlineStr">
        <is>
          <t>Partial</t>
        </is>
      </c>
      <c r="N9" s="2" t="inlineStr">
        <is>
          <t>HB.HBRoomSetSetpointSchedules</t>
        </is>
      </c>
      <c r="O9" s="2" t="inlineStr">
        <is>
          <t>baseline 20/26 °C</t>
        </is>
      </c>
      <c r="P9" s="2" t="inlineStr">
        <is>
          <t>calibrated: see S19/S22</t>
        </is>
      </c>
      <c r="Q9" s="2" t="n"/>
    </row>
    <row r="10" ht="58.15" customHeight="1">
      <c r="A10" s="2" t="inlineStr">
        <is>
          <t>M09</t>
        </is>
      </c>
      <c r="B10" s="2" t="inlineStr">
        <is>
          <t>Infiltration</t>
        </is>
      </c>
      <c r="C10" s="2" t="inlineStr">
        <is>
          <t>–</t>
        </is>
      </c>
      <c r="D10" s="2" t="inlineStr">
        <is>
          <t>–</t>
        </is>
      </c>
      <c r="E10" s="2" t="inlineStr">
        <is>
          <t>–</t>
        </is>
      </c>
      <c r="F10" s="2" t="inlineStr">
        <is>
          <t>–</t>
        </is>
      </c>
      <c r="G10" s="2" t="inlineStr">
        <is>
          <t>notebook constant</t>
        </is>
      </c>
      <c r="H10" s="2" t="inlineStr">
        <is>
          <t>infiltrationFlowRateDict['TightBuilding'] = 0.0001 m³/s per m² exterior surface</t>
        </is>
      </c>
      <c r="I10" s="2" t="inlineStr">
        <is>
          <t>Room</t>
        </is>
      </c>
      <c r="J10" s="2" t="inlineStr">
        <is>
          <t>infiltration (office program)</t>
        </is>
      </c>
      <c r="K10" s="2" t="inlineStr">
        <is>
          <t>ZoneInfiltration:DesignFlowRate</t>
        </is>
      </c>
      <c r="L10" s="2" t="inlineStr">
        <is>
          <t>Design_Flow_Rate_Calculation_Method = Flow/ExteriorArea; Flow_Rate_per_Exterior_Surface_Area = 0.0001; coefficients 1/0/0/0; schedule 'Generic Office Infiltration'</t>
        </is>
      </c>
      <c r="M10" s="14" t="inlineStr">
        <is>
          <t>Partial</t>
        </is>
      </c>
      <c r="N10" s="2" t="inlineStr">
        <is>
          <t>TopologicCellComplexToIDF 'CONSTRUCTION'</t>
        </is>
      </c>
      <c r="O10" s="2" t="inlineStr">
        <is>
          <t>0.0001</t>
        </is>
      </c>
      <c r="P10" s="2" t="inlineStr">
        <is>
          <t>0.0001</t>
        </is>
      </c>
      <c r="Q10" s="2" t="inlineStr">
        <is>
          <t>Options in nb: PassiveHouse 7.1e-5, Tight 1e-4, Average 3e-4, Leaky 6e-4.</t>
        </is>
      </c>
    </row>
    <row r="11" ht="23.25" customHeight="1">
      <c r="A11" s="2" t="inlineStr">
        <is>
          <t>M10</t>
        </is>
      </c>
      <c r="B11" s="2" t="inlineStr">
        <is>
          <t>Service hot water</t>
        </is>
      </c>
      <c r="C11" s="2" t="inlineStr">
        <is>
          <t>–</t>
        </is>
      </c>
      <c r="D11" s="2" t="inlineStr">
        <is>
          <t>–</t>
        </is>
      </c>
      <c r="E11" s="2" t="inlineStr">
        <is>
          <t>–</t>
        </is>
      </c>
      <c r="F11" s="2" t="inlineStr">
        <is>
          <t>–</t>
        </is>
      </c>
      <c r="G11" s="2" t="inlineStr">
        <is>
          <t>HB constant</t>
        </is>
      </c>
      <c r="H11" s="2" t="inlineStr">
        <is>
          <t>ServiceHotWater('Office Hot Water', 0.1 L/h·m², 'Office room dayschedule' 9–17 h)</t>
        </is>
      </c>
      <c r="I11" s="2" t="inlineStr">
        <is>
          <t>Room</t>
        </is>
      </c>
      <c r="J11" s="2" t="inlineStr">
        <is>
          <t>service_hot_water</t>
        </is>
      </c>
      <c r="K11" s="2" t="inlineStr">
        <is>
          <t>WaterUse:Equipment</t>
        </is>
      </c>
      <c r="L11" s="2" t="inlineStr">
        <is>
          <t>Peak_Flow_Rate, Flow_Rate_Fraction_Schedule_Name</t>
        </is>
      </c>
      <c r="M11" s="14" t="inlineStr">
        <is>
          <t>Partial</t>
        </is>
      </c>
      <c r="N11" s="2" t="inlineStr">
        <is>
          <t>HB.HBRoomSetSetpointSchedules</t>
        </is>
      </c>
      <c r="O11" s="2" t="n"/>
      <c r="P11" s="2" t="n"/>
      <c r="Q11" s="2" t="inlineStr">
        <is>
          <t>Not BIM-derived; outputs not reported in the paper.</t>
        </is>
      </c>
    </row>
    <row r="12" ht="34.9" customHeight="1">
      <c r="A12" s="2" t="inlineStr">
        <is>
          <t>M11</t>
        </is>
      </c>
      <c r="B12" s="2" t="inlineStr">
        <is>
          <t>Schedules</t>
        </is>
      </c>
      <c r="C12" s="2" t="inlineStr">
        <is>
          <t>–</t>
        </is>
      </c>
      <c r="D12" s="2" t="inlineStr">
        <is>
          <t>–</t>
        </is>
      </c>
      <c r="E12" s="2" t="inlineStr">
        <is>
          <t>–</t>
        </is>
      </c>
      <c r="F12" s="2" t="inlineStr">
        <is>
          <t>–</t>
        </is>
      </c>
      <c r="G12" s="2" t="inlineStr">
        <is>
          <t>_schedules/*.json (HB ScheduleRuleset dicts)</t>
        </is>
      </c>
      <c r="H12" s="2" t="inlineStr">
        <is>
          <t>rules → 'Through: m/d' / 'For: &lt;weekday | Weekdays | AllDays&gt;' / 'Until: hh:00', value clipped to type limits</t>
        </is>
      </c>
      <c r="I12" s="2" t="inlineStr">
        <is>
          <t>ScheduleRuleset (dict)</t>
        </is>
      </c>
      <c r="J12" s="2" t="inlineStr">
        <is>
          <t>identifier (prefixed)</t>
        </is>
      </c>
      <c r="K12" s="2" t="inlineStr">
        <is>
          <t>Schedule:Compact + ScheduleTypeLimits</t>
        </is>
      </c>
      <c r="L12" s="2" t="inlineStr">
        <is>
          <t>Name, Schedule_Type_Limits_Name, Field_n</t>
        </is>
      </c>
      <c r="M12" s="10" t="inlineStr">
        <is>
          <t>Yes</t>
        </is>
      </c>
      <c r="N12" s="2" t="inlineStr">
        <is>
          <t>HB.*ScheduleRulesetDictsByJSONPath; Eppy.IdfScheduleCompactByHBScheduleRulesetDict (Operation.py:1183)</t>
        </is>
      </c>
      <c r="O12" s="2" t="n"/>
      <c r="P12" s="2" t="n"/>
      <c r="Q12" s="2" t="inlineStr">
        <is>
          <t>See Val_Schedules. Prefixes: OccSch_, EqpSch_, LghSch_, HtnSch_, ClnSch_, VntSch_. Plus 'AlwaysOff'.</t>
        </is>
      </c>
    </row>
    <row r="13" ht="23.25" customHeight="1">
      <c r="A13" s="2" t="inlineStr">
        <is>
          <t>M12</t>
        </is>
      </c>
      <c r="B13" s="2" t="inlineStr">
        <is>
          <t>Building</t>
        </is>
      </c>
      <c r="C13" s="2" t="inlineStr">
        <is>
          <t>–</t>
        </is>
      </c>
      <c r="D13" s="2" t="inlineStr">
        <is>
          <t>–</t>
        </is>
      </c>
      <c r="E13" s="2" t="inlineStr">
        <is>
          <t>–</t>
        </is>
      </c>
      <c r="F13" s="2" t="inlineStr">
        <is>
          <t>–</t>
        </is>
      </c>
      <c r="G13" s="2" t="inlineStr">
        <is>
          <t>notebook constant</t>
        </is>
      </c>
      <c r="H13" s="2" t="inlineStr">
        <is>
          <t>buildingName, northAxis = 45°, terrain = 'City'</t>
        </is>
      </c>
      <c r="I13" s="2" t="inlineStr">
        <is>
          <t>Model</t>
        </is>
      </c>
      <c r="J13" s="2" t="inlineStr">
        <is>
          <t>identifier</t>
        </is>
      </c>
      <c r="K13" s="2" t="inlineStr">
        <is>
          <t>Building</t>
        </is>
      </c>
      <c r="L13" s="2" t="inlineStr">
        <is>
          <t>Name, North_Axis, Terrain, Solar_Distribution = FullExterior (overrides HB value)</t>
        </is>
      </c>
      <c r="M13" s="10" t="inlineStr">
        <is>
          <t>Yes</t>
        </is>
      </c>
      <c r="N13" s="2" t="inlineStr">
        <is>
          <t>TopologicCellComplexToIDF</t>
        </is>
      </c>
      <c r="O13" s="2" t="inlineStr">
        <is>
          <t>edificio09, 45°, City</t>
        </is>
      </c>
      <c r="P13" s="2" t="inlineStr">
        <is>
          <t>edificio10, 45°, City</t>
        </is>
      </c>
      <c r="Q13" s="2" t="n"/>
    </row>
    <row r="14" ht="23.25" customHeight="1">
      <c r="A14" s="2" t="inlineStr">
        <is>
          <t>M13</t>
        </is>
      </c>
      <c r="B14" s="2" t="inlineStr">
        <is>
          <t>Simulation control</t>
        </is>
      </c>
      <c r="C14" s="2" t="inlineStr">
        <is>
          <t>–</t>
        </is>
      </c>
      <c r="D14" s="2" t="inlineStr">
        <is>
          <t>–</t>
        </is>
      </c>
      <c r="E14" s="2" t="inlineStr">
        <is>
          <t>–</t>
        </is>
      </c>
      <c r="F14" s="2" t="inlineStr">
        <is>
          <t>–</t>
        </is>
      </c>
      <c r="G14" s="2" t="inlineStr">
        <is>
          <t>HB.HBDefaultSimulationParameter</t>
        </is>
      </c>
      <c r="H14" s="2" t="inlineStr">
        <is>
          <t>zone sizing Yes, system/plant sizing No, sizing periods No, run periods Yes</t>
        </is>
      </c>
      <c r="I14" s="2" t="inlineStr">
        <is>
          <t>SimulationParameter</t>
        </is>
      </c>
      <c r="J14" s="2" t="inlineStr">
        <is>
          <t>simulation_control</t>
        </is>
      </c>
      <c r="K14" s="2" t="inlineStr">
        <is>
          <t>SimulationControl</t>
        </is>
      </c>
      <c r="L14" s="2" t="inlineStr">
        <is>
          <t>all fields</t>
        </is>
      </c>
      <c r="M14" s="10" t="inlineStr">
        <is>
          <t>Yes</t>
        </is>
      </c>
      <c r="N14" s="2" t="inlineStr">
        <is>
          <t>Operation.py:468</t>
        </is>
      </c>
      <c r="O14" s="2" t="n"/>
      <c r="P14" s="2" t="n"/>
      <c r="Q14" s="2" t="n"/>
    </row>
    <row r="15" ht="23.25" customHeight="1">
      <c r="A15" s="2" t="inlineStr">
        <is>
          <t>M14</t>
        </is>
      </c>
      <c r="B15" s="2" t="inlineStr">
        <is>
          <t>Timestep</t>
        </is>
      </c>
      <c r="C15" s="2" t="inlineStr">
        <is>
          <t>–</t>
        </is>
      </c>
      <c r="D15" s="2" t="inlineStr">
        <is>
          <t>–</t>
        </is>
      </c>
      <c r="E15" s="2" t="inlineStr">
        <is>
          <t>–</t>
        </is>
      </c>
      <c r="F15" s="2" t="inlineStr">
        <is>
          <t>–</t>
        </is>
      </c>
      <c r="G15" s="2" t="inlineStr">
        <is>
          <t>HB.HBDefaultSimulationParameter</t>
        </is>
      </c>
      <c r="H15" s="2" t="inlineStr">
        <is>
          <t>6 per hour (nb attempt to set 4 has no effect)</t>
        </is>
      </c>
      <c r="I15" s="2" t="inlineStr">
        <is>
          <t>SimulationParameter</t>
        </is>
      </c>
      <c r="J15" s="2" t="inlineStr">
        <is>
          <t>timestep</t>
        </is>
      </c>
      <c r="K15" s="2" t="inlineStr">
        <is>
          <t>Timestep</t>
        </is>
      </c>
      <c r="L15" s="2" t="inlineStr">
        <is>
          <t>Number_of_Timesteps_per_Hour</t>
        </is>
      </c>
      <c r="M15" s="10" t="inlineStr">
        <is>
          <t>Yes</t>
        </is>
      </c>
      <c r="N15" s="2" t="inlineStr">
        <is>
          <t>Operation.py:531</t>
        </is>
      </c>
      <c r="O15" s="2" t="inlineStr">
        <is>
          <t>baseline 6, calibrated 4</t>
        </is>
      </c>
      <c r="P15" s="2" t="inlineStr">
        <is>
          <t>baseline 6, calibrated 4</t>
        </is>
      </c>
      <c r="Q15" s="2" t="n"/>
    </row>
    <row r="16" ht="23.25" customHeight="1">
      <c r="A16" s="2" t="inlineStr">
        <is>
          <t>M15</t>
        </is>
      </c>
      <c r="B16" s="2" t="inlineStr">
        <is>
          <t>Run period</t>
        </is>
      </c>
      <c r="C16" s="2" t="inlineStr">
        <is>
          <t>–</t>
        </is>
      </c>
      <c r="D16" s="2" t="inlineStr">
        <is>
          <t>–</t>
        </is>
      </c>
      <c r="E16" s="2" t="inlineStr">
        <is>
          <t>–</t>
        </is>
      </c>
      <c r="F16" s="2" t="inlineStr">
        <is>
          <t>–</t>
        </is>
      </c>
      <c r="G16" s="2" t="inlineStr">
        <is>
          <t>HB default + Eppy at run time</t>
        </is>
      </c>
      <c r="H16" s="2" t="inlineStr">
        <is>
          <t>IDF: 1/1–31/12/2017, start Monday; overwritten to 2024 by Eppy.EnergyPlus_RunSimulation</t>
        </is>
      </c>
      <c r="I16" s="2" t="inlineStr">
        <is>
          <t>RunPeriod</t>
        </is>
      </c>
      <c r="J16" s="2" t="inlineStr">
        <is>
          <t>start/end date</t>
        </is>
      </c>
      <c r="K16" s="2" t="inlineStr">
        <is>
          <t>RunPeriod</t>
        </is>
      </c>
      <c r="L16" s="2" t="inlineStr">
        <is>
          <t>Begin/End Month/Day/Year</t>
        </is>
      </c>
      <c r="M16" s="10" t="inlineStr">
        <is>
          <t>Yes</t>
        </is>
      </c>
      <c r="N16" s="2" t="inlineStr">
        <is>
          <t>Operation.py:1132</t>
        </is>
      </c>
      <c r="O16" s="2" t="n"/>
      <c r="P16" s="2" t="n"/>
      <c r="Q16" s="2" t="inlineStr">
        <is>
          <t>Paper: monitoring period 1/2/2024–31/1/2025.</t>
        </is>
      </c>
    </row>
    <row r="17" ht="23.25" customHeight="1">
      <c r="A17" s="2" t="inlineStr">
        <is>
          <t>M16</t>
        </is>
      </c>
      <c r="B17" s="2" t="inlineStr">
        <is>
          <t>Daylight saving / holidays</t>
        </is>
      </c>
      <c r="C17" s="2" t="inlineStr">
        <is>
          <t>–</t>
        </is>
      </c>
      <c r="D17" s="2" t="inlineStr">
        <is>
          <t>–</t>
        </is>
      </c>
      <c r="E17" s="2" t="inlineStr">
        <is>
          <t>–</t>
        </is>
      </c>
      <c r="F17" s="2" t="inlineStr">
        <is>
          <t>–</t>
        </is>
      </c>
      <c r="G17" s="2" t="inlineStr">
        <is>
          <t>HB default</t>
        </is>
      </c>
      <c r="H17" s="2" t="inlineStr">
        <is>
          <t>DST 12/3–5/11; holidays 1/1 and 4/7</t>
        </is>
      </c>
      <c r="I17" s="2" t="inlineStr">
        <is>
          <t>RunPeriod</t>
        </is>
      </c>
      <c r="J17" s="2" t="inlineStr">
        <is>
          <t>daylight_saving_time, holidays</t>
        </is>
      </c>
      <c r="K17" s="2" t="inlineStr">
        <is>
          <t>RunPeriodControl:DaylightSavingTime / :SpecialDays</t>
        </is>
      </c>
      <c r="L17" s="2" t="inlineStr">
        <is>
          <t>Start/End Date</t>
        </is>
      </c>
      <c r="M17" s="10" t="inlineStr">
        <is>
          <t>Yes</t>
        </is>
      </c>
      <c r="N17" s="2" t="inlineStr">
        <is>
          <t>Operation.py:482</t>
        </is>
      </c>
      <c r="O17" s="2" t="n"/>
      <c r="P17" s="2" t="n"/>
      <c r="Q17" s="2" t="inlineStr">
        <is>
          <t>US defaults (4 July); Italian DST is last Sun of March → last Sun of October.</t>
        </is>
      </c>
    </row>
    <row r="18" ht="23.25" customHeight="1">
      <c r="A18" s="2" t="inlineStr">
        <is>
          <t>M17</t>
        </is>
      </c>
      <c r="B18" s="2" t="inlineStr">
        <is>
          <t>Shadow calculation</t>
        </is>
      </c>
      <c r="C18" s="2" t="inlineStr">
        <is>
          <t>–</t>
        </is>
      </c>
      <c r="D18" s="2" t="inlineStr">
        <is>
          <t>–</t>
        </is>
      </c>
      <c r="E18" s="2" t="inlineStr">
        <is>
          <t>–</t>
        </is>
      </c>
      <c r="F18" s="2" t="inlineStr">
        <is>
          <t>–</t>
        </is>
      </c>
      <c r="G18" s="2" t="inlineStr">
        <is>
          <t>HB.HBDefaultSimulationParameter</t>
        </is>
      </c>
      <c r="H18" s="2" t="inlineStr">
        <is>
          <t>PolygonClipping, Periodic, every 30 days, max 15 000 figures</t>
        </is>
      </c>
      <c r="I18" s="2" t="inlineStr">
        <is>
          <t>ShadowCalculation</t>
        </is>
      </c>
      <c r="J18" s="2" t="inlineStr">
        <is>
          <t>–</t>
        </is>
      </c>
      <c r="K18" s="2" t="inlineStr">
        <is>
          <t>ShadowCalculation</t>
        </is>
      </c>
      <c r="L18" s="2" t="inlineStr">
        <is>
          <t>all fields</t>
        </is>
      </c>
      <c r="M18" s="10" t="inlineStr">
        <is>
          <t>Yes</t>
        </is>
      </c>
      <c r="N18" s="2" t="inlineStr">
        <is>
          <t>Operation.py:507</t>
        </is>
      </c>
      <c r="O18" s="2" t="n"/>
      <c r="P18" s="2" t="n"/>
      <c r="Q18" s="2" t="n"/>
    </row>
    <row r="19" ht="34.9" customHeight="1">
      <c r="A19" s="2" t="inlineStr">
        <is>
          <t>M18</t>
        </is>
      </c>
      <c r="B19" s="2" t="inlineStr">
        <is>
          <t>Sizing</t>
        </is>
      </c>
      <c r="C19" s="2" t="inlineStr">
        <is>
          <t>–</t>
        </is>
      </c>
      <c r="D19" s="2" t="inlineStr">
        <is>
          <t>–</t>
        </is>
      </c>
      <c r="E19" s="2" t="inlineStr">
        <is>
          <t>–</t>
        </is>
      </c>
      <c r="F19" s="2" t="inlineStr">
        <is>
          <t>–</t>
        </is>
      </c>
      <c r="G19" s="2" t="inlineStr">
        <is>
          <t>HB default + DDY</t>
        </is>
      </c>
      <c r="H19" s="2" t="inlineStr">
        <is>
          <t>heating factor 1.25, cooling factor 1.15; design days from ITA_LM_Grigna.Settentrion.160700_TMYx.ddy (99.6 % htg DB, 0.4 % clg DP)</t>
        </is>
      </c>
      <c r="I19" s="2" t="inlineStr">
        <is>
          <t>SizingParameter</t>
        </is>
      </c>
      <c r="J19" s="2" t="inlineStr">
        <is>
          <t>–</t>
        </is>
      </c>
      <c r="K19" s="2" t="inlineStr">
        <is>
          <t>Sizing:Parameters + SizingPeriod:DesignDay</t>
        </is>
      </c>
      <c r="L19" s="2" t="inlineStr">
        <is>
          <t>–</t>
        </is>
      </c>
      <c r="M19" s="10" t="inlineStr">
        <is>
          <t>Yes</t>
        </is>
      </c>
      <c r="N19" s="2" t="inlineStr">
        <is>
          <t>Operation.py:516; nb 'add_from_ddy_996_004'</t>
        </is>
      </c>
      <c r="O19" s="2" t="n"/>
      <c r="P19" s="2" t="n"/>
      <c r="Q19" s="2" t="n"/>
    </row>
    <row r="20">
      <c r="A20" s="2" t="inlineStr">
        <is>
          <t>M19</t>
        </is>
      </c>
      <c r="B20" s="2" t="inlineStr">
        <is>
          <t>Weather</t>
        </is>
      </c>
      <c r="C20" s="2" t="inlineStr">
        <is>
          <t>–</t>
        </is>
      </c>
      <c r="D20" s="2" t="inlineStr">
        <is>
          <t>–</t>
        </is>
      </c>
      <c r="E20" s="2" t="inlineStr">
        <is>
          <t>–</t>
        </is>
      </c>
      <c r="F20" s="2" t="inlineStr">
        <is>
          <t>–</t>
        </is>
      </c>
      <c r="G20" s="2" t="inlineStr">
        <is>
          <t>EPW</t>
        </is>
      </c>
      <c r="H20" s="2" t="inlineStr">
        <is>
          <t>data/weather/Lecco_IT-hour.epw</t>
        </is>
      </c>
      <c r="I20" s="2" t="inlineStr">
        <is>
          <t>–</t>
        </is>
      </c>
      <c r="J20" s="2" t="inlineStr">
        <is>
          <t>–</t>
        </is>
      </c>
      <c r="K20" s="2" t="inlineStr">
        <is>
          <t>(simulation input)</t>
        </is>
      </c>
      <c r="L20" s="2" t="inlineStr">
        <is>
          <t>–</t>
        </is>
      </c>
      <c r="M20" s="10" t="inlineStr">
        <is>
          <t>Yes</t>
        </is>
      </c>
      <c r="N20" s="2" t="inlineStr">
        <is>
          <t>Eppy.EnergyPlus_RunSimulation</t>
        </is>
      </c>
      <c r="O20" s="2" t="n"/>
      <c r="P20" s="2" t="n"/>
      <c r="Q20" s="2" t="n"/>
    </row>
    <row r="21" ht="46.5" customHeight="1">
      <c r="A21" s="2" t="inlineStr">
        <is>
          <t>M20</t>
        </is>
      </c>
      <c r="B21" s="2" t="inlineStr">
        <is>
          <t>Outputs</t>
        </is>
      </c>
      <c r="C21" s="2" t="inlineStr">
        <is>
          <t>–</t>
        </is>
      </c>
      <c r="D21" s="2" t="inlineStr">
        <is>
          <t>–</t>
        </is>
      </c>
      <c r="E21" s="2" t="inlineStr">
        <is>
          <t>–</t>
        </is>
      </c>
      <c r="F21" s="2" t="inlineStr">
        <is>
          <t>–</t>
        </is>
      </c>
      <c r="G21" s="2" t="inlineStr">
        <is>
          <t>Eppy.DigitManOutputVariables + nb</t>
        </is>
      </c>
      <c r="H21" s="2" t="inlineStr">
        <is>
          <t>Zone Ideal Loads Zone Total Heating/Cooling Energy, Zone Electric Equipment Electricity Energy, Zone Lights Electricity Energy, Zone People Occupant Count, Zone Mean Air / Air / Mean Radiant / Operative Temperature</t>
        </is>
      </c>
      <c r="I21" s="2" t="inlineStr">
        <is>
          <t>SimulationOutput</t>
        </is>
      </c>
      <c r="J21" s="2" t="inlineStr">
        <is>
          <t>outputs</t>
        </is>
      </c>
      <c r="K21" s="2" t="inlineStr">
        <is>
          <t>Output:Variable</t>
        </is>
      </c>
      <c r="L21" s="2" t="inlineStr">
        <is>
          <t>Variable_Name, Reporting_Frequency = Hourly</t>
        </is>
      </c>
      <c r="M21" s="10" t="inlineStr">
        <is>
          <t>Yes</t>
        </is>
      </c>
      <c r="N21" s="2" t="inlineStr">
        <is>
          <t>Eppy.IdfSetOutputVariables</t>
        </is>
      </c>
      <c r="O21" s="2" t="n"/>
      <c r="P21" s="2" t="n"/>
      <c r="Q21" s="2" t="inlineStr">
        <is>
          <t>Calibration uses ZONE18 Mean Radiant Temperature (B10).</t>
        </is>
      </c>
    </row>
  </sheetData>
  <autoFilter ref="A1:Q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25"/>
  <cols>
    <col width="8" customWidth="1" min="1" max="1"/>
    <col width="34" customWidth="1" min="2" max="2"/>
    <col width="7" customWidth="1" min="3" max="3"/>
    <col width="9" customWidth="1" min="4" max="4"/>
    <col width="12" customWidth="1" min="5" max="25"/>
    <col width="30" customWidth="1" min="26" max="31"/>
  </cols>
  <sheetData>
    <row r="1" ht="52.5" customHeight="1">
      <c r="A1" s="1" t="inlineStr">
        <is>
          <t>Building</t>
        </is>
      </c>
      <c r="B1" s="1" t="inlineStr">
        <is>
          <t>pr_OccupancyType</t>
        </is>
      </c>
      <c r="C1" s="1" t="inlineStr">
        <is>
          <t>N cells</t>
        </is>
      </c>
      <c r="D1" s="1" t="inlineStr">
        <is>
          <t>pr_OccupancyType_Number</t>
        </is>
      </c>
      <c r="E1" s="1" t="inlineStr">
        <is>
          <t>pr_IsOccupied</t>
        </is>
      </c>
      <c r="F1" s="1" t="inlineStr">
        <is>
          <t>pr_IsHeated</t>
        </is>
      </c>
      <c r="G1" s="1" t="inlineStr">
        <is>
          <t>pr_IsCooled</t>
        </is>
      </c>
      <c r="H1" s="1" t="inlineStr">
        <is>
          <t>pr_IsMechanicallyVentilated</t>
        </is>
      </c>
      <c r="I1" s="1" t="inlineStr">
        <is>
          <t>pr_IsNaturallyVentilated</t>
        </is>
      </c>
      <c r="J1" s="1" t="inlineStr">
        <is>
          <t>pr_ArtificialLighting</t>
        </is>
      </c>
      <c r="K1" s="1" t="inlineStr">
        <is>
          <t>pr_OccupancyDensityOperation</t>
        </is>
      </c>
      <c r="L1" s="1" t="inlineStr">
        <is>
          <t>pr_OccupancyDensitySafety</t>
        </is>
      </c>
      <c r="M1" s="1" t="inlineStr">
        <is>
          <t>pr_LightingPowerDensity</t>
        </is>
      </c>
      <c r="N1" s="1" t="inlineStr">
        <is>
          <t>pr_EquipmentPowerDensity</t>
        </is>
      </c>
      <c r="O1" s="1" t="inlineStr">
        <is>
          <t>pr_Illuminance</t>
        </is>
      </c>
      <c r="P1" s="1" t="inlineStr">
        <is>
          <t>pr_MechanicalVentilationRate</t>
        </is>
      </c>
      <c r="Q1" s="1" t="inlineStr">
        <is>
          <t>pr_MechanicalVentilationRatePerPerson</t>
        </is>
      </c>
      <c r="R1" s="1" t="inlineStr">
        <is>
          <t>pr_MechanicalVentilationRatePerVolume</t>
        </is>
      </c>
      <c r="S1" s="1" t="inlineStr">
        <is>
          <t>pr_SpaceTemperatureSummerMax</t>
        </is>
      </c>
      <c r="T1" s="1" t="inlineStr">
        <is>
          <t>pr_SpaceTemperatureSummerMin</t>
        </is>
      </c>
      <c r="U1" s="1" t="inlineStr">
        <is>
          <t>pr_SpaceTemperatureWinterMax</t>
        </is>
      </c>
      <c r="V1" s="1" t="inlineStr">
        <is>
          <t>pr_SpaceTemperatureWinterMin</t>
        </is>
      </c>
      <c r="W1" s="1" t="inlineStr">
        <is>
          <t>pr_HumidityMax</t>
        </is>
      </c>
      <c r="X1" s="1" t="inlineStr">
        <is>
          <t>pr_HumidityMin</t>
        </is>
      </c>
      <c r="Y1" s="1" t="inlineStr">
        <is>
          <t>pr_SpaceWindLoadRating</t>
        </is>
      </c>
      <c r="Z1" s="1" t="inlineStr">
        <is>
          <t>rl_IsScheduledBy_Occupancy (IFC)</t>
        </is>
      </c>
      <c r="AA1" s="1" t="inlineStr">
        <is>
          <t>rl_IsScheduledBy_Lighting (IFC)</t>
        </is>
      </c>
      <c r="AB1" s="1" t="inlineStr">
        <is>
          <t>rl_IsScheduledBy_Equipment (IFC)</t>
        </is>
      </c>
      <c r="AC1" s="1" t="inlineStr">
        <is>
          <t>rl_IsScheduledBy_Heating (IFC)</t>
        </is>
      </c>
      <c r="AD1" s="1" t="inlineStr">
        <is>
          <t>rl_IsScheduledBy_Cooling (IFC)</t>
        </is>
      </c>
      <c r="AE1" s="1" t="inlineStr">
        <is>
          <t>rl_IsScheduledBy_Ventilation (IFC)</t>
        </is>
      </c>
    </row>
    <row r="2">
      <c r="A2" s="2" t="inlineStr">
        <is>
          <t>B09</t>
        </is>
      </c>
      <c r="B2" s="2" t="inlineStr">
        <is>
          <t>CommerceActivitySpaces:OfficeSpaces</t>
        </is>
      </c>
      <c r="C2" s="2" t="n">
        <v>1</v>
      </c>
      <c r="D2" s="2" t="inlineStr">
        <is>
          <t>2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s="2" t="inlineStr">
        <is>
          <t>1</t>
        </is>
      </c>
      <c r="I2" s="2" t="inlineStr">
        <is>
          <t>0</t>
        </is>
      </c>
      <c r="J2" s="2" t="inlineStr">
        <is>
          <t>1</t>
        </is>
      </c>
      <c r="K2" s="2" t="inlineStr">
        <is>
          <t>0.12</t>
        </is>
      </c>
      <c r="L2" s="2" t="inlineStr">
        <is>
          <t>0.4</t>
        </is>
      </c>
      <c r="M2" s="2" t="inlineStr">
        <is>
          <t>7</t>
        </is>
      </c>
      <c r="N2" s="2" t="inlineStr">
        <is>
          <t>Undefined</t>
        </is>
      </c>
      <c r="O2" s="2" t="inlineStr">
        <is>
          <t>500</t>
        </is>
      </c>
      <c r="P2" s="2" t="inlineStr">
        <is>
          <t>0.68599</t>
        </is>
      </c>
      <c r="Q2" s="2" t="inlineStr">
        <is>
          <t>7</t>
        </is>
      </c>
      <c r="R2" s="2" t="inlineStr">
        <is>
          <t>0</t>
        </is>
      </c>
      <c r="S2" s="2" t="inlineStr">
        <is>
          <t>26</t>
        </is>
      </c>
      <c r="T2" s="2" t="inlineStr">
        <is>
          <t>23</t>
        </is>
      </c>
      <c r="U2" s="2" t="inlineStr">
        <is>
          <t>23.5</t>
        </is>
      </c>
      <c r="V2" s="2" t="inlineStr">
        <is>
          <t>18</t>
        </is>
      </c>
      <c r="W2" s="2" t="inlineStr">
        <is>
          <t>70</t>
        </is>
      </c>
      <c r="X2" s="2" t="inlineStr">
        <is>
          <t>40</t>
        </is>
      </c>
      <c r="Y2" s="2" t="inlineStr">
        <is>
          <t>Undefined</t>
        </is>
      </c>
      <c r="Z2" s="2" t="inlineStr">
        <is>
          <t>OccSch_Unoccupied (×1)</t>
        </is>
      </c>
      <c r="AA2" s="2" t="inlineStr">
        <is>
          <t>LghSch_Costant (×1)</t>
        </is>
      </c>
      <c r="AB2" s="2" t="inlineStr">
        <is>
          <t>EqpSch_Costant (×1)</t>
        </is>
      </c>
      <c r="AC2" s="2" t="inlineStr">
        <is>
          <t>HtnSch_AHU (×1)</t>
        </is>
      </c>
      <c r="AD2" s="2" t="inlineStr">
        <is>
          <t>ClnSch_AHU (×1)</t>
        </is>
      </c>
      <c r="AE2" s="2" t="inlineStr">
        <is>
          <t>VntSch_AHU (×1)</t>
        </is>
      </c>
    </row>
    <row r="3" ht="209.25" customHeight="1">
      <c r="A3" s="2" t="inlineStr">
        <is>
          <t>B09</t>
        </is>
      </c>
      <c r="B3" s="2" t="inlineStr">
        <is>
          <t>EducationandTrainingSpaces:LectureHall(FixedSeats)</t>
        </is>
      </c>
      <c r="C3" s="2" t="n">
        <v>19</v>
      </c>
      <c r="D3" s="2" t="inlineStr">
        <is>
          <t>5</t>
        </is>
      </c>
      <c r="E3" s="2" t="inlineStr">
        <is>
          <t>1</t>
        </is>
      </c>
      <c r="F3" s="2" t="inlineStr">
        <is>
          <t>1</t>
        </is>
      </c>
      <c r="G3" s="2" t="inlineStr">
        <is>
          <t>1</t>
        </is>
      </c>
      <c r="H3" s="2" t="inlineStr">
        <is>
          <t>1</t>
        </is>
      </c>
      <c r="I3" s="2" t="inlineStr">
        <is>
          <t>0</t>
        </is>
      </c>
      <c r="J3" s="2" t="inlineStr">
        <is>
          <t>1</t>
        </is>
      </c>
      <c r="K3" s="2" t="inlineStr">
        <is>
          <t>0.6</t>
        </is>
      </c>
      <c r="L3" s="2" t="inlineStr">
        <is>
          <t>1.2</t>
        </is>
      </c>
      <c r="M3" s="2" t="inlineStr">
        <is>
          <t>6</t>
        </is>
      </c>
      <c r="N3" s="2" t="inlineStr">
        <is>
          <t>Undefined</t>
        </is>
      </c>
      <c r="O3" s="2" t="inlineStr">
        <is>
          <t>300</t>
        </is>
      </c>
      <c r="P3" s="2" t="inlineStr">
        <is>
          <t>0.33794–5.80349 (17 distinct)</t>
        </is>
      </c>
      <c r="Q3" s="2" t="inlineStr">
        <is>
          <t>7</t>
        </is>
      </c>
      <c r="R3" s="2" t="inlineStr">
        <is>
          <t>0</t>
        </is>
      </c>
      <c r="S3" s="2" t="inlineStr">
        <is>
          <t>26</t>
        </is>
      </c>
      <c r="T3" s="2" t="inlineStr">
        <is>
          <t>23</t>
        </is>
      </c>
      <c r="U3" s="2" t="inlineStr">
        <is>
          <t>23.5</t>
        </is>
      </c>
      <c r="V3" s="2" t="inlineStr">
        <is>
          <t>18</t>
        </is>
      </c>
      <c r="W3" s="2" t="inlineStr">
        <is>
          <t>70</t>
        </is>
      </c>
      <c r="X3" s="2" t="inlineStr">
        <is>
          <t>40</t>
        </is>
      </c>
      <c r="Y3" s="2" t="inlineStr">
        <is>
          <t>A4 (×18); Undefined (×1)</t>
        </is>
      </c>
      <c r="Z3" s="2" t="inlineStr">
        <is>
          <t>OccSch_B0.1 (×2); OccSch_B0.7 (×1); OccSch_B0.6 (×1); OccSch_Unoccupied (×1); OccSch_B0.5 (×1); OccSch_B1.3 (×1); OccSch_B0.4 (×1); OccSch_B0.3 (×1); OccSch_B0.2 (×1); OccSch_B1.5 (×1); OccSch_B1.4 (×1); OccSch_B1.2 (×1); OccSch_B1.1 (×1); OccSch_B2.4 (×1); OccSch_B2.3 (×1); OccSch_B2.6 (×1); OccSch_B2.5 (×1); OccSch_B2.2 (×1)</t>
        </is>
      </c>
      <c r="AA3" s="2" t="inlineStr">
        <is>
          <t>LghSch_Costant;LghSch_B0.1 (×2); LghSch_Costant;LghSch_B0.7 (×1); LghSch_Costant;LghSch_B0.6 (×1); LghSch_Costant (×1); LghSch_Costant;LghSch_B0.5 (×1); LghSch_Costant;LghSch_B1.3 (×1); LghSch_Costant;LghSch_B0.4 (×1); LghSch_Costant;LghSch_B0.3 (×1); LghSch_Costant;LghSch_B0.2 (×1); LghSch_Costant;LghSch_B1.5 (×1); LghSch_Costant;LghSch_B1.4 (×1); LghSch_Costant;LghSch_B1.2 (×1); LghSch_Costant;LghSch_B1.1 (×1); LghSch_Costant;LghSch_B2.4 (×1); LghSch_Costant;LghSch_B2.3 (×1); LghSch_Costant;LghSch_B2.6 (×1); LghSch_Costant;LghSch_B2.5 (×1); LghSch_Costant;LghSch_B2.2 (×1)</t>
        </is>
      </c>
      <c r="AB3" s="2" t="inlineStr">
        <is>
          <t>EqpSch_Costant;EqpSch_B0.1 (×2); EqpSch_Costant;EqpSch_B0.7 (×1); EqpSch_Costant;EqpSch_B0.6 (×1); EqpSch_Costant (×1); EqpSch_Costant;EqpSch_B0.5 (×1); EqpSch_Costant;EqpSch_B1.3 (×1); EqpSch_Costant;EqpSch_B0.4 (×1); EqpSch_Costant;EqpSch_B0.3 (×1); EqpSch_Costant;EqpSch_B0.2 (×1); EqpSch_Costant;EqpSch_B1.5 (×1); EqpSch_Costant;EqpSch_B1.4 (×1); EqpSch_Costant;EqpSch_B1.2 (×1); EqpSch_Costant;EqpSch_B1.1 (×1); EqpSch_Costant;EqpSch_B2.4 (×1); EqpSch_Costant;EqpSch_B2.3 (×1); EqpSch_Costant;EqpSch_B2.6 (×1); EqpSch_Costant;EqpSch_B2.5 (×1); EqpSch_Costant;EqpSch_B2.2 (×1)</t>
        </is>
      </c>
      <c r="AC3" s="2" t="inlineStr">
        <is>
          <t>HtnSch_AHU (×19)</t>
        </is>
      </c>
      <c r="AD3" s="2" t="inlineStr">
        <is>
          <t>ClnSch_AHU (×19)</t>
        </is>
      </c>
      <c r="AE3" s="2" t="inlineStr">
        <is>
          <t>VntSch_AHU (×19)</t>
        </is>
      </c>
    </row>
    <row r="4" ht="23.25" customHeight="1">
      <c r="A4" s="2" t="inlineStr">
        <is>
          <t>B09</t>
        </is>
      </c>
      <c r="B4" s="2" t="inlineStr">
        <is>
          <t>EducationandTrainingSpaces:Research/Non-ClassClassLaboratory</t>
        </is>
      </c>
      <c r="C4" s="2" t="n">
        <v>23</v>
      </c>
      <c r="D4" s="2" t="inlineStr">
        <is>
          <t>6</t>
        </is>
      </c>
      <c r="E4" s="2" t="inlineStr">
        <is>
          <t>1</t>
        </is>
      </c>
      <c r="F4" s="2" t="inlineStr">
        <is>
          <t>1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0</t>
        </is>
      </c>
      <c r="J4" s="2" t="inlineStr">
        <is>
          <t>1</t>
        </is>
      </c>
      <c r="K4" s="2" t="inlineStr">
        <is>
          <t>0.3</t>
        </is>
      </c>
      <c r="L4" s="2" t="inlineStr">
        <is>
          <t>0.4</t>
        </is>
      </c>
      <c r="M4" s="2" t="inlineStr">
        <is>
          <t>6</t>
        </is>
      </c>
      <c r="N4" s="2" t="inlineStr">
        <is>
          <t>Undefined</t>
        </is>
      </c>
      <c r="O4" s="2" t="inlineStr">
        <is>
          <t>300</t>
        </is>
      </c>
      <c r="P4" s="2" t="inlineStr">
        <is>
          <t>1.47905–1.90732 (23 distinct)</t>
        </is>
      </c>
      <c r="Q4" s="2" t="inlineStr">
        <is>
          <t>7</t>
        </is>
      </c>
      <c r="R4" s="2" t="inlineStr">
        <is>
          <t>0</t>
        </is>
      </c>
      <c r="S4" s="2" t="inlineStr">
        <is>
          <t>26</t>
        </is>
      </c>
      <c r="T4" s="2" t="inlineStr">
        <is>
          <t>23</t>
        </is>
      </c>
      <c r="U4" s="2" t="inlineStr">
        <is>
          <t>23.5</t>
        </is>
      </c>
      <c r="V4" s="2" t="inlineStr">
        <is>
          <t>18</t>
        </is>
      </c>
      <c r="W4" s="2" t="inlineStr">
        <is>
          <t>70</t>
        </is>
      </c>
      <c r="X4" s="2" t="inlineStr">
        <is>
          <t>40</t>
        </is>
      </c>
      <c r="Y4" s="2" t="inlineStr">
        <is>
          <t>A4</t>
        </is>
      </c>
      <c r="Z4" s="2" t="inlineStr">
        <is>
          <t>OccSch_Unoccupied (×23)</t>
        </is>
      </c>
      <c r="AA4" s="2" t="inlineStr">
        <is>
          <t>LghSch_Costant (×23)</t>
        </is>
      </c>
      <c r="AB4" s="2" t="inlineStr">
        <is>
          <t>EqpSch_Costant (×23)</t>
        </is>
      </c>
      <c r="AC4" s="2" t="inlineStr">
        <is>
          <t>HtnSch_AHU (×23)</t>
        </is>
      </c>
      <c r="AD4" s="2" t="inlineStr">
        <is>
          <t>ClnSch_AHU (×23)</t>
        </is>
      </c>
      <c r="AE4" s="2" t="inlineStr">
        <is>
          <t>VntSch_AHU (×23)</t>
        </is>
      </c>
    </row>
    <row r="5">
      <c r="A5" s="2" t="inlineStr">
        <is>
          <t>B09</t>
        </is>
      </c>
      <c r="B5" s="2" t="inlineStr">
        <is>
          <t>EducationandTrainingSpaces:StudyRoom</t>
        </is>
      </c>
      <c r="C5" s="2" t="n">
        <v>1</v>
      </c>
      <c r="D5" s="2" t="inlineStr">
        <is>
          <t>4</t>
        </is>
      </c>
      <c r="E5" s="2" t="inlineStr">
        <is>
          <t>1</t>
        </is>
      </c>
      <c r="F5" s="2" t="inlineStr">
        <is>
          <t>1</t>
        </is>
      </c>
      <c r="G5" s="2" t="inlineStr">
        <is>
          <t>1</t>
        </is>
      </c>
      <c r="H5" s="2" t="inlineStr">
        <is>
          <t>1</t>
        </is>
      </c>
      <c r="I5" s="2" t="inlineStr">
        <is>
          <t>0</t>
        </is>
      </c>
      <c r="J5" s="2" t="inlineStr">
        <is>
          <t>1</t>
        </is>
      </c>
      <c r="K5" s="2" t="inlineStr">
        <is>
          <t>0.6</t>
        </is>
      </c>
      <c r="L5" s="2" t="inlineStr">
        <is>
          <t>1.2</t>
        </is>
      </c>
      <c r="M5" s="2" t="inlineStr">
        <is>
          <t>6</t>
        </is>
      </c>
      <c r="N5" s="2" t="inlineStr">
        <is>
          <t>Undefined</t>
        </is>
      </c>
      <c r="O5" s="2" t="inlineStr">
        <is>
          <t>300</t>
        </is>
      </c>
      <c r="P5" s="2" t="inlineStr">
        <is>
          <t>3.73838</t>
        </is>
      </c>
      <c r="Q5" s="2" t="inlineStr">
        <is>
          <t>7</t>
        </is>
      </c>
      <c r="R5" s="2" t="inlineStr">
        <is>
          <t>0</t>
        </is>
      </c>
      <c r="S5" s="2" t="inlineStr">
        <is>
          <t>26</t>
        </is>
      </c>
      <c r="T5" s="2" t="inlineStr">
        <is>
          <t>23</t>
        </is>
      </c>
      <c r="U5" s="2" t="inlineStr">
        <is>
          <t>23.5</t>
        </is>
      </c>
      <c r="V5" s="2" t="inlineStr">
        <is>
          <t>18</t>
        </is>
      </c>
      <c r="W5" s="2" t="inlineStr">
        <is>
          <t>70</t>
        </is>
      </c>
      <c r="X5" s="2" t="inlineStr">
        <is>
          <t>40</t>
        </is>
      </c>
      <c r="Y5" s="2" t="inlineStr">
        <is>
          <t>Undefined</t>
        </is>
      </c>
      <c r="Z5" s="2" t="inlineStr">
        <is>
          <t>OccSch_Unoccupied (×1)</t>
        </is>
      </c>
      <c r="AA5" s="2" t="inlineStr">
        <is>
          <t>LghSch_Costant (×1)</t>
        </is>
      </c>
      <c r="AB5" s="2" t="inlineStr">
        <is>
          <t>EqpSch_Costant (×1)</t>
        </is>
      </c>
      <c r="AC5" s="2" t="inlineStr">
        <is>
          <t>HtnSch_AHU (×1)</t>
        </is>
      </c>
      <c r="AD5" s="2" t="inlineStr">
        <is>
          <t>ClnSch_AHU (×1)</t>
        </is>
      </c>
      <c r="AE5" s="2" t="inlineStr">
        <is>
          <t>VntSch_AHU (×1)</t>
        </is>
      </c>
    </row>
    <row r="6" ht="23.25" customHeight="1">
      <c r="A6" s="2" t="inlineStr">
        <is>
          <t>B09</t>
        </is>
      </c>
      <c r="B6" s="2" t="inlineStr">
        <is>
          <t>FacilityServiceSpaces:Corridor</t>
        </is>
      </c>
      <c r="C6" s="2" t="n">
        <v>8</v>
      </c>
      <c r="D6" s="2" t="inlineStr">
        <is>
          <t>13</t>
        </is>
      </c>
      <c r="E6" s="2" t="inlineStr">
        <is>
          <t>1</t>
        </is>
      </c>
      <c r="F6" s="2" t="inlineStr">
        <is>
          <t>1</t>
        </is>
      </c>
      <c r="G6" s="2" t="inlineStr">
        <is>
          <t>1</t>
        </is>
      </c>
      <c r="H6" s="2" t="inlineStr">
        <is>
          <t>1</t>
        </is>
      </c>
      <c r="I6" s="2" t="inlineStr">
        <is>
          <t>0</t>
        </is>
      </c>
      <c r="J6" s="2" t="inlineStr">
        <is>
          <t>1</t>
        </is>
      </c>
      <c r="K6" s="2" t="inlineStr">
        <is>
          <t>0</t>
        </is>
      </c>
      <c r="L6" s="2" t="inlineStr">
        <is>
          <t>0</t>
        </is>
      </c>
      <c r="M6" s="2" t="inlineStr">
        <is>
          <t>6</t>
        </is>
      </c>
      <c r="N6" s="2" t="inlineStr">
        <is>
          <t>Undefined</t>
        </is>
      </c>
      <c r="O6" s="2" t="inlineStr">
        <is>
          <t>300</t>
        </is>
      </c>
      <c r="P6" s="2" t="inlineStr">
        <is>
          <t>0</t>
        </is>
      </c>
      <c r="Q6" s="2" t="inlineStr">
        <is>
          <t>7</t>
        </is>
      </c>
      <c r="R6" s="2" t="inlineStr">
        <is>
          <t>0</t>
        </is>
      </c>
      <c r="S6" s="2" t="inlineStr">
        <is>
          <t>26</t>
        </is>
      </c>
      <c r="T6" s="2" t="inlineStr">
        <is>
          <t>23</t>
        </is>
      </c>
      <c r="U6" s="2" t="inlineStr">
        <is>
          <t>23.5</t>
        </is>
      </c>
      <c r="V6" s="2" t="inlineStr">
        <is>
          <t>18</t>
        </is>
      </c>
      <c r="W6" s="2" t="inlineStr">
        <is>
          <t>70</t>
        </is>
      </c>
      <c r="X6" s="2" t="inlineStr">
        <is>
          <t>40</t>
        </is>
      </c>
      <c r="Y6" s="2" t="inlineStr">
        <is>
          <t>Undefined</t>
        </is>
      </c>
      <c r="Z6" s="2" t="inlineStr">
        <is>
          <t>OccSch_Unoccupied (×8)</t>
        </is>
      </c>
      <c r="AA6" s="2" t="inlineStr">
        <is>
          <t>LghSch_Unoccupied (×7); LghSch_Costant (×1)</t>
        </is>
      </c>
      <c r="AB6" s="2" t="inlineStr">
        <is>
          <t>EqpSch_Unoccupied (×7); EqpSch_Costant (×1)</t>
        </is>
      </c>
      <c r="AC6" s="2" t="inlineStr">
        <is>
          <t>HtnSch_AHU (×5); None (×3)</t>
        </is>
      </c>
      <c r="AD6" s="2" t="inlineStr">
        <is>
          <t>ClnSch_AHU (×5); None (×3)</t>
        </is>
      </c>
      <c r="AE6" s="2" t="inlineStr">
        <is>
          <t>VntSch_AHU (×5); None (×3)</t>
        </is>
      </c>
    </row>
    <row r="7">
      <c r="A7" s="2" t="inlineStr">
        <is>
          <t>B09</t>
        </is>
      </c>
      <c r="B7" s="2" t="inlineStr">
        <is>
          <t>FacilityServiceSpaces:ElevatorShaft</t>
        </is>
      </c>
      <c r="C7" s="2" t="n">
        <v>12</v>
      </c>
      <c r="D7" s="2" t="inlineStr">
        <is>
          <t>9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1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6</t>
        </is>
      </c>
      <c r="N7" s="2" t="inlineStr">
        <is>
          <t>Undefined</t>
        </is>
      </c>
      <c r="O7" s="2" t="inlineStr">
        <is>
          <t>300</t>
        </is>
      </c>
      <c r="P7" s="2" t="inlineStr">
        <is>
          <t>1</t>
        </is>
      </c>
      <c r="Q7" s="2" t="inlineStr">
        <is>
          <t>0</t>
        </is>
      </c>
      <c r="R7" s="2" t="inlineStr">
        <is>
          <t>1</t>
        </is>
      </c>
      <c r="S7" s="2" t="inlineStr">
        <is>
          <t>Undefined</t>
        </is>
      </c>
      <c r="T7" s="2" t="inlineStr">
        <is>
          <t>Undefined</t>
        </is>
      </c>
      <c r="U7" s="2" t="inlineStr">
        <is>
          <t>Undefined</t>
        </is>
      </c>
      <c r="V7" s="2" t="inlineStr">
        <is>
          <t>Undefined</t>
        </is>
      </c>
      <c r="W7" s="2" t="inlineStr">
        <is>
          <t>70</t>
        </is>
      </c>
      <c r="X7" s="2" t="inlineStr">
        <is>
          <t>40</t>
        </is>
      </c>
      <c r="Y7" s="2" t="inlineStr">
        <is>
          <t>Undefined</t>
        </is>
      </c>
      <c r="Z7" s="2" t="inlineStr">
        <is>
          <t>None (×12)</t>
        </is>
      </c>
      <c r="AA7" s="2" t="inlineStr">
        <is>
          <t>None (×12)</t>
        </is>
      </c>
      <c r="AB7" s="2" t="inlineStr">
        <is>
          <t>None (×12)</t>
        </is>
      </c>
      <c r="AC7" s="2" t="inlineStr">
        <is>
          <t>None (×12)</t>
        </is>
      </c>
      <c r="AD7" s="2" t="inlineStr">
        <is>
          <t>None (×12)</t>
        </is>
      </c>
      <c r="AE7" s="2" t="inlineStr">
        <is>
          <t>None (×12)</t>
        </is>
      </c>
    </row>
    <row r="8" ht="46.5" customHeight="1">
      <c r="A8" s="2" t="inlineStr">
        <is>
          <t>B09</t>
        </is>
      </c>
      <c r="B8" s="2" t="inlineStr">
        <is>
          <t>FacilityServiceSpaces:HorizontalInfrastructure/ServiceSpaceNon-Occupied</t>
        </is>
      </c>
      <c r="C8" s="2" t="n">
        <v>56</v>
      </c>
      <c r="D8" s="2" t="inlineStr">
        <is>
          <t>12</t>
        </is>
      </c>
      <c r="E8" s="2" t="inlineStr">
        <is>
          <t>0</t>
        </is>
      </c>
      <c r="F8" s="2" t="inlineStr">
        <is>
          <t>1</t>
        </is>
      </c>
      <c r="G8" s="2" t="inlineStr">
        <is>
          <t>1</t>
        </is>
      </c>
      <c r="H8" s="2" t="inlineStr">
        <is>
          <t>1</t>
        </is>
      </c>
      <c r="I8" s="2" t="inlineStr">
        <is>
          <t>0</t>
        </is>
      </c>
      <c r="J8" s="2" t="inlineStr">
        <is>
          <t>1</t>
        </is>
      </c>
      <c r="K8" s="2" t="inlineStr">
        <is>
          <t>0</t>
        </is>
      </c>
      <c r="L8" s="2" t="inlineStr">
        <is>
          <t>0</t>
        </is>
      </c>
      <c r="M8" s="2" t="inlineStr">
        <is>
          <t>6</t>
        </is>
      </c>
      <c r="N8" s="2" t="inlineStr">
        <is>
          <t>Undefined</t>
        </is>
      </c>
      <c r="O8" s="2" t="inlineStr">
        <is>
          <t>300</t>
        </is>
      </c>
      <c r="P8" s="2" t="inlineStr">
        <is>
          <t>0–1332.16 (16 distinct)</t>
        </is>
      </c>
      <c r="Q8" s="2" t="inlineStr">
        <is>
          <t>7</t>
        </is>
      </c>
      <c r="R8" s="2" t="inlineStr">
        <is>
          <t>0</t>
        </is>
      </c>
      <c r="S8" s="2" t="inlineStr">
        <is>
          <t>26</t>
        </is>
      </c>
      <c r="T8" s="2" t="inlineStr">
        <is>
          <t>23</t>
        </is>
      </c>
      <c r="U8" s="2" t="inlineStr">
        <is>
          <t>23.5</t>
        </is>
      </c>
      <c r="V8" s="2" t="inlineStr">
        <is>
          <t>18</t>
        </is>
      </c>
      <c r="W8" s="2" t="inlineStr">
        <is>
          <t>70</t>
        </is>
      </c>
      <c r="X8" s="2" t="inlineStr">
        <is>
          <t>40</t>
        </is>
      </c>
      <c r="Y8" s="2" t="inlineStr">
        <is>
          <t>None (×27); A4 (×17); Undefined (×12)</t>
        </is>
      </c>
      <c r="Z8" s="2" t="inlineStr">
        <is>
          <t>None (×55); OccSch_Unoccupied (×1)</t>
        </is>
      </c>
      <c r="AA8" s="2" t="inlineStr">
        <is>
          <t>None (×55); LghSch_Costant (×1)</t>
        </is>
      </c>
      <c r="AB8" s="2" t="inlineStr">
        <is>
          <t>None (×55); EqpSch_Costant (×1)</t>
        </is>
      </c>
      <c r="AC8" s="2" t="inlineStr">
        <is>
          <t>None (×51); HtnSch_AHU (×5)</t>
        </is>
      </c>
      <c r="AD8" s="2" t="inlineStr">
        <is>
          <t>None (×51); ClnSch_AHU (×5)</t>
        </is>
      </c>
      <c r="AE8" s="2" t="inlineStr">
        <is>
          <t>None (×51); VntSch_AHU (×5)</t>
        </is>
      </c>
    </row>
    <row r="9">
      <c r="A9" s="2" t="inlineStr">
        <is>
          <t>B09</t>
        </is>
      </c>
      <c r="B9" s="2" t="inlineStr">
        <is>
          <t>FacilityServiceSpaces:Restroom</t>
        </is>
      </c>
      <c r="C9" s="2" t="n">
        <v>12</v>
      </c>
      <c r="D9" s="2" t="inlineStr">
        <is>
          <t>11</t>
        </is>
      </c>
      <c r="E9" s="2" t="inlineStr">
        <is>
          <t>0</t>
        </is>
      </c>
      <c r="F9" s="2" t="inlineStr">
        <is>
          <t>1</t>
        </is>
      </c>
      <c r="G9" s="2" t="inlineStr">
        <is>
          <t>1</t>
        </is>
      </c>
      <c r="H9" s="2" t="inlineStr">
        <is>
          <t>1</t>
        </is>
      </c>
      <c r="I9" s="2" t="inlineStr">
        <is>
          <t>0</t>
        </is>
      </c>
      <c r="J9" s="2" t="inlineStr">
        <is>
          <t>1</t>
        </is>
      </c>
      <c r="K9" s="2" t="inlineStr">
        <is>
          <t>Undefined</t>
        </is>
      </c>
      <c r="L9" s="2" t="inlineStr">
        <is>
          <t>0</t>
        </is>
      </c>
      <c r="M9" s="2" t="inlineStr">
        <is>
          <t>6</t>
        </is>
      </c>
      <c r="N9" s="2" t="inlineStr">
        <is>
          <t>Undefined</t>
        </is>
      </c>
      <c r="O9" s="2" t="inlineStr">
        <is>
          <t>Undefined</t>
        </is>
      </c>
      <c r="P9" s="2" t="inlineStr">
        <is>
          <t>8</t>
        </is>
      </c>
      <c r="Q9" s="2" t="inlineStr">
        <is>
          <t>0</t>
        </is>
      </c>
      <c r="R9" s="2" t="inlineStr">
        <is>
          <t>8</t>
        </is>
      </c>
      <c r="S9" s="2" t="inlineStr">
        <is>
          <t>26</t>
        </is>
      </c>
      <c r="T9" s="2" t="inlineStr">
        <is>
          <t>23</t>
        </is>
      </c>
      <c r="U9" s="2" t="inlineStr">
        <is>
          <t>23.5</t>
        </is>
      </c>
      <c r="V9" s="2" t="inlineStr">
        <is>
          <t>18</t>
        </is>
      </c>
      <c r="W9" s="2" t="inlineStr">
        <is>
          <t>Undefined</t>
        </is>
      </c>
      <c r="X9" s="2" t="inlineStr">
        <is>
          <t>Undefined</t>
        </is>
      </c>
      <c r="Y9" s="2" t="inlineStr">
        <is>
          <t>Undefined</t>
        </is>
      </c>
      <c r="Z9" s="2" t="inlineStr">
        <is>
          <t>OccSch_Unoccupied (×12)</t>
        </is>
      </c>
      <c r="AA9" s="2" t="inlineStr">
        <is>
          <t>LghSch_Costant (×12)</t>
        </is>
      </c>
      <c r="AB9" s="2" t="inlineStr">
        <is>
          <t>EqpSch_Costant (×12)</t>
        </is>
      </c>
      <c r="AC9" s="2" t="inlineStr">
        <is>
          <t>HtnSch_AHU (×9); None (×3)</t>
        </is>
      </c>
      <c r="AD9" s="2" t="inlineStr">
        <is>
          <t>ClnSch_AHU (×9); None (×3)</t>
        </is>
      </c>
      <c r="AE9" s="2" t="inlineStr">
        <is>
          <t>VntSch_AHU (×9); None (×3)</t>
        </is>
      </c>
    </row>
    <row r="10" ht="23.25" customHeight="1">
      <c r="A10" s="2" t="inlineStr">
        <is>
          <t>B09</t>
        </is>
      </c>
      <c r="B10" s="2" t="inlineStr">
        <is>
          <t>FacilityServiceSpaces:Stairway</t>
        </is>
      </c>
      <c r="C10" s="2" t="n">
        <v>9</v>
      </c>
      <c r="D10" s="2" t="inlineStr">
        <is>
          <t>8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1</t>
        </is>
      </c>
      <c r="K10" s="2" t="inlineStr">
        <is>
          <t>0</t>
        </is>
      </c>
      <c r="L10" s="2" t="inlineStr">
        <is>
          <t>0</t>
        </is>
      </c>
      <c r="M10" s="2" t="inlineStr">
        <is>
          <t>6</t>
        </is>
      </c>
      <c r="N10" s="2" t="inlineStr">
        <is>
          <t>Undefined</t>
        </is>
      </c>
      <c r="O10" s="2" t="inlineStr">
        <is>
          <t>150</t>
        </is>
      </c>
      <c r="P10" s="2" t="inlineStr">
        <is>
          <t>1</t>
        </is>
      </c>
      <c r="Q10" s="2" t="inlineStr">
        <is>
          <t>0</t>
        </is>
      </c>
      <c r="R10" s="2" t="inlineStr">
        <is>
          <t>1</t>
        </is>
      </c>
      <c r="S10" s="2" t="inlineStr">
        <is>
          <t>Undefined</t>
        </is>
      </c>
      <c r="T10" s="2" t="inlineStr">
        <is>
          <t>Undefined</t>
        </is>
      </c>
      <c r="U10" s="2" t="inlineStr">
        <is>
          <t>Undefined</t>
        </is>
      </c>
      <c r="V10" s="2" t="inlineStr">
        <is>
          <t>Undefined</t>
        </is>
      </c>
      <c r="W10" s="2" t="inlineStr">
        <is>
          <t>70</t>
        </is>
      </c>
      <c r="X10" s="2" t="inlineStr">
        <is>
          <t>40</t>
        </is>
      </c>
      <c r="Y10" s="2" t="inlineStr">
        <is>
          <t>Undefined (×7); None (×2)</t>
        </is>
      </c>
      <c r="Z10" s="2" t="inlineStr">
        <is>
          <t>OccSch_Unoccupied (×7); None (×2)</t>
        </is>
      </c>
      <c r="AA10" s="2" t="inlineStr">
        <is>
          <t>LghSch_Unoccupied (×7); None (×2)</t>
        </is>
      </c>
      <c r="AB10" s="2" t="inlineStr">
        <is>
          <t>EqpSch_Unoccupied (×7); None (×2)</t>
        </is>
      </c>
      <c r="AC10" s="2" t="inlineStr">
        <is>
          <t>HtnSch_AHU (×7); None (×2)</t>
        </is>
      </c>
      <c r="AD10" s="2" t="inlineStr">
        <is>
          <t>ClnSch_AHU (×7); None (×2)</t>
        </is>
      </c>
      <c r="AE10" s="2" t="inlineStr">
        <is>
          <t>VntSch_AHU (×7); None (×2)</t>
        </is>
      </c>
    </row>
    <row r="11" ht="23.25" customHeight="1">
      <c r="A11" s="2" t="inlineStr">
        <is>
          <t>B09</t>
        </is>
      </c>
      <c r="B11" s="2" t="inlineStr">
        <is>
          <t>FacilityServiceSpaces:UtilityEquipmentRoom</t>
        </is>
      </c>
      <c r="C11" s="2" t="n">
        <v>13</v>
      </c>
      <c r="D11" s="2" t="inlineStr">
        <is>
          <t>10</t>
        </is>
      </c>
      <c r="E11" s="2" t="inlineStr">
        <is>
          <t>0</t>
        </is>
      </c>
      <c r="F11" s="2" t="inlineStr">
        <is>
          <t>1</t>
        </is>
      </c>
      <c r="G11" s="2" t="inlineStr">
        <is>
          <t>1</t>
        </is>
      </c>
      <c r="H11" s="2" t="inlineStr">
        <is>
          <t>1</t>
        </is>
      </c>
      <c r="I11" s="2" t="inlineStr">
        <is>
          <t>0</t>
        </is>
      </c>
      <c r="J11" s="2" t="inlineStr">
        <is>
          <t>1</t>
        </is>
      </c>
      <c r="K11" s="2" t="inlineStr">
        <is>
          <t>0</t>
        </is>
      </c>
      <c r="L11" s="2" t="inlineStr">
        <is>
          <t>0</t>
        </is>
      </c>
      <c r="M11" s="2" t="inlineStr">
        <is>
          <t>6</t>
        </is>
      </c>
      <c r="N11" s="2" t="inlineStr">
        <is>
          <t>Undefined</t>
        </is>
      </c>
      <c r="O11" s="2" t="inlineStr">
        <is>
          <t>300</t>
        </is>
      </c>
      <c r="P11" s="2" t="inlineStr">
        <is>
          <t>0</t>
        </is>
      </c>
      <c r="Q11" s="2" t="inlineStr">
        <is>
          <t>7</t>
        </is>
      </c>
      <c r="R11" s="2" t="inlineStr">
        <is>
          <t>0</t>
        </is>
      </c>
      <c r="S11" s="2" t="inlineStr">
        <is>
          <t>26</t>
        </is>
      </c>
      <c r="T11" s="2" t="inlineStr">
        <is>
          <t>23</t>
        </is>
      </c>
      <c r="U11" s="2" t="inlineStr">
        <is>
          <t>23.5</t>
        </is>
      </c>
      <c r="V11" s="2" t="inlineStr">
        <is>
          <t>18</t>
        </is>
      </c>
      <c r="W11" s="2" t="inlineStr">
        <is>
          <t>70</t>
        </is>
      </c>
      <c r="X11" s="2" t="inlineStr">
        <is>
          <t>40</t>
        </is>
      </c>
      <c r="Y11" s="2" t="inlineStr">
        <is>
          <t>Undefined (×12); A4 (×1)</t>
        </is>
      </c>
      <c r="Z11" s="2" t="inlineStr">
        <is>
          <t>OccSch_Unoccupied (×12); None (×1)</t>
        </is>
      </c>
      <c r="AA11" s="2" t="inlineStr">
        <is>
          <t>LghSch_Costant (×12); None (×1)</t>
        </is>
      </c>
      <c r="AB11" s="2" t="inlineStr">
        <is>
          <t>EqpSch_Costant (×12); None (×1)</t>
        </is>
      </c>
      <c r="AC11" s="2" t="inlineStr">
        <is>
          <t>None (×9); HtnSch_AHU (×4)</t>
        </is>
      </c>
      <c r="AD11" s="2" t="inlineStr">
        <is>
          <t>None (×9); ClnSch_AHU (×4)</t>
        </is>
      </c>
      <c r="AE11" s="2" t="inlineStr">
        <is>
          <t>None (×9); VntSch_AHU (×4)</t>
        </is>
      </c>
    </row>
    <row r="12">
      <c r="A12" s="2" t="inlineStr">
        <is>
          <t>B09</t>
        </is>
      </c>
      <c r="B12" s="2" t="inlineStr">
        <is>
          <t>StorageSpaces:GeneralStorageSpace</t>
        </is>
      </c>
      <c r="C12" s="2" t="n">
        <v>1</v>
      </c>
      <c r="D12" s="2" t="inlineStr">
        <is>
          <t>20</t>
        </is>
      </c>
      <c r="E12" s="2" t="inlineStr">
        <is>
          <t>0</t>
        </is>
      </c>
      <c r="F12" s="2" t="inlineStr">
        <is>
          <t>1</t>
        </is>
      </c>
      <c r="G12" s="2" t="inlineStr">
        <is>
          <t>1</t>
        </is>
      </c>
      <c r="H12" s="2" t="inlineStr">
        <is>
          <t>1</t>
        </is>
      </c>
      <c r="I12" s="2" t="inlineStr">
        <is>
          <t>0</t>
        </is>
      </c>
      <c r="J12" s="2" t="inlineStr">
        <is>
          <t>1</t>
        </is>
      </c>
      <c r="K12" s="2" t="inlineStr">
        <is>
          <t>0</t>
        </is>
      </c>
      <c r="L12" s="2" t="inlineStr">
        <is>
          <t>0</t>
        </is>
      </c>
      <c r="M12" s="2" t="inlineStr">
        <is>
          <t>6</t>
        </is>
      </c>
      <c r="N12" s="2" t="inlineStr">
        <is>
          <t>Undefined</t>
        </is>
      </c>
      <c r="O12" s="2" t="inlineStr">
        <is>
          <t>200</t>
        </is>
      </c>
      <c r="P12" s="2" t="inlineStr">
        <is>
          <t>0</t>
        </is>
      </c>
      <c r="Q12" s="2" t="inlineStr">
        <is>
          <t>7</t>
        </is>
      </c>
      <c r="R12" s="2" t="inlineStr">
        <is>
          <t>0</t>
        </is>
      </c>
      <c r="S12" s="2" t="inlineStr">
        <is>
          <t>26</t>
        </is>
      </c>
      <c r="T12" s="2" t="inlineStr">
        <is>
          <t>23</t>
        </is>
      </c>
      <c r="U12" s="2" t="inlineStr">
        <is>
          <t>23.5</t>
        </is>
      </c>
      <c r="V12" s="2" t="inlineStr">
        <is>
          <t>18</t>
        </is>
      </c>
      <c r="W12" s="2" t="inlineStr">
        <is>
          <t>70</t>
        </is>
      </c>
      <c r="X12" s="2" t="inlineStr">
        <is>
          <t>40</t>
        </is>
      </c>
      <c r="Y12" s="2" t="inlineStr">
        <is>
          <t>Undefined</t>
        </is>
      </c>
      <c r="Z12" s="2" t="inlineStr">
        <is>
          <t>OccSch_Unoccupied (×1)</t>
        </is>
      </c>
      <c r="AA12" s="2" t="inlineStr">
        <is>
          <t>LghSch_Costant (×1)</t>
        </is>
      </c>
      <c r="AB12" s="2" t="inlineStr">
        <is>
          <t>EqpSch_Costant (×1)</t>
        </is>
      </c>
      <c r="AC12" s="2" t="inlineStr">
        <is>
          <t>HtnSch_AHU (×1)</t>
        </is>
      </c>
      <c r="AD12" s="2" t="inlineStr">
        <is>
          <t>ClnSch_AHU (×1)</t>
        </is>
      </c>
      <c r="AE12" s="2" t="inlineStr">
        <is>
          <t>VntSch_AHU (×1)</t>
        </is>
      </c>
    </row>
    <row r="13" ht="58.15" customHeight="1">
      <c r="A13" s="2" t="inlineStr">
        <is>
          <t>B10</t>
        </is>
      </c>
      <c r="B13" s="2" t="inlineStr">
        <is>
          <t>EducationandTrainingSpaces:LectureHall(FixedSeats)</t>
        </is>
      </c>
      <c r="C13" s="2" t="n">
        <v>4</v>
      </c>
      <c r="D13" s="2" t="inlineStr">
        <is>
          <t>5</t>
        </is>
      </c>
      <c r="E13" s="2" t="inlineStr">
        <is>
          <t>1</t>
        </is>
      </c>
      <c r="F13" s="2" t="inlineStr">
        <is>
          <t>1</t>
        </is>
      </c>
      <c r="G13" s="2" t="inlineStr">
        <is>
          <t>1</t>
        </is>
      </c>
      <c r="H13" s="2" t="inlineStr">
        <is>
          <t>1</t>
        </is>
      </c>
      <c r="I13" s="2" t="inlineStr">
        <is>
          <t>0</t>
        </is>
      </c>
      <c r="J13" s="2" t="inlineStr">
        <is>
          <t>1</t>
        </is>
      </c>
      <c r="K13" s="2" t="inlineStr">
        <is>
          <t>0.6</t>
        </is>
      </c>
      <c r="L13" s="2" t="inlineStr">
        <is>
          <t>1.2</t>
        </is>
      </c>
      <c r="M13" s="2" t="inlineStr">
        <is>
          <t>6</t>
        </is>
      </c>
      <c r="N13" s="2" t="inlineStr">
        <is>
          <t>Undefined</t>
        </is>
      </c>
      <c r="O13" s="2" t="inlineStr">
        <is>
          <t>300</t>
        </is>
      </c>
      <c r="P13" s="2" t="inlineStr">
        <is>
          <t>1.44286 / 1.56475 / 2.97108 / 3.3027</t>
        </is>
      </c>
      <c r="Q13" s="2" t="inlineStr">
        <is>
          <t>7</t>
        </is>
      </c>
      <c r="R13" s="2" t="inlineStr">
        <is>
          <t>0</t>
        </is>
      </c>
      <c r="S13" s="2" t="inlineStr">
        <is>
          <t>26</t>
        </is>
      </c>
      <c r="T13" s="2" t="inlineStr">
        <is>
          <t>23</t>
        </is>
      </c>
      <c r="U13" s="2" t="inlineStr">
        <is>
          <t>23.5</t>
        </is>
      </c>
      <c r="V13" s="2" t="inlineStr">
        <is>
          <t>18</t>
        </is>
      </c>
      <c r="W13" s="2" t="inlineStr">
        <is>
          <t>70</t>
        </is>
      </c>
      <c r="X13" s="2" t="inlineStr">
        <is>
          <t>40</t>
        </is>
      </c>
      <c r="Y13" s="2" t="inlineStr">
        <is>
          <t>A4 (×3); Undefined (×1)</t>
        </is>
      </c>
      <c r="Z13" s="2" t="inlineStr">
        <is>
          <t>OccSch_A1.3 (×1); OccSch_A1.2 (×1); OccSch_A1.1 (×1); OccSch_A0.1/A0.2 (×1)</t>
        </is>
      </c>
      <c r="AA13" s="2" t="inlineStr">
        <is>
          <t>LghSch_A1.3;LghSch_Costant (×1); LghSch_A1.2;LghSch_Costant (×1); LghSch_A1.1;LghSch_Costant (×1); LghSch_A0.1/A0.2;LghSch_Costant (×1)</t>
        </is>
      </c>
      <c r="AB13" s="2" t="inlineStr">
        <is>
          <t>EqpSch_A1.3;EqpSch_Costant (×1); EqpSch_A1.2;EqpSch_Costant (×1); EqpSch_A1.1;EqpSch_Costant (×1); EqpSch_A0.1/A0.2;EqpSch_Costant (×1)</t>
        </is>
      </c>
      <c r="AC13" s="2" t="inlineStr">
        <is>
          <t>HtnSch_AHU (×4)</t>
        </is>
      </c>
      <c r="AD13" s="2" t="inlineStr">
        <is>
          <t>ClnSch_AHU (×4)</t>
        </is>
      </c>
      <c r="AE13" s="2" t="inlineStr">
        <is>
          <t>VntSch_AHU (×4)</t>
        </is>
      </c>
    </row>
    <row r="14" ht="23.25" customHeight="1">
      <c r="A14" s="2" t="inlineStr">
        <is>
          <t>B10</t>
        </is>
      </c>
      <c r="B14" s="2" t="inlineStr">
        <is>
          <t>EducationandTrainingSpaces:Research/Non-ClassClassLaboratory</t>
        </is>
      </c>
      <c r="C14" s="2" t="n">
        <v>1</v>
      </c>
      <c r="D14" s="2" t="inlineStr">
        <is>
          <t>6</t>
        </is>
      </c>
      <c r="E14" s="2" t="inlineStr">
        <is>
          <t>1</t>
        </is>
      </c>
      <c r="F14" s="2" t="inlineStr">
        <is>
          <t>1</t>
        </is>
      </c>
      <c r="G14" s="2" t="inlineStr">
        <is>
          <t>1</t>
        </is>
      </c>
      <c r="H14" s="2" t="inlineStr">
        <is>
          <t>1</t>
        </is>
      </c>
      <c r="I14" s="2" t="inlineStr">
        <is>
          <t>0</t>
        </is>
      </c>
      <c r="J14" s="2" t="inlineStr">
        <is>
          <t>1</t>
        </is>
      </c>
      <c r="K14" s="2" t="inlineStr">
        <is>
          <t>0.3</t>
        </is>
      </c>
      <c r="L14" s="2" t="inlineStr">
        <is>
          <t>0.4</t>
        </is>
      </c>
      <c r="M14" s="2" t="inlineStr">
        <is>
          <t>6</t>
        </is>
      </c>
      <c r="N14" s="2" t="inlineStr">
        <is>
          <t>Undefined</t>
        </is>
      </c>
      <c r="O14" s="2" t="inlineStr">
        <is>
          <t>300</t>
        </is>
      </c>
      <c r="P14" s="2" t="inlineStr">
        <is>
          <t>1.83147</t>
        </is>
      </c>
      <c r="Q14" s="2" t="inlineStr">
        <is>
          <t>7</t>
        </is>
      </c>
      <c r="R14" s="2" t="inlineStr">
        <is>
          <t>0</t>
        </is>
      </c>
      <c r="S14" s="2" t="inlineStr">
        <is>
          <t>26</t>
        </is>
      </c>
      <c r="T14" s="2" t="inlineStr">
        <is>
          <t>23</t>
        </is>
      </c>
      <c r="U14" s="2" t="inlineStr">
        <is>
          <t>23.5</t>
        </is>
      </c>
      <c r="V14" s="2" t="inlineStr">
        <is>
          <t>18</t>
        </is>
      </c>
      <c r="W14" s="2" t="inlineStr">
        <is>
          <t>70</t>
        </is>
      </c>
      <c r="X14" s="2" t="inlineStr">
        <is>
          <t>40</t>
        </is>
      </c>
      <c r="Y14" s="2" t="inlineStr">
        <is>
          <t>A4</t>
        </is>
      </c>
      <c r="Z14" s="2" t="inlineStr">
        <is>
          <t>OccSch_Unoccupied (×1)</t>
        </is>
      </c>
      <c r="AA14" s="2" t="inlineStr">
        <is>
          <t>LghSch_Unoccupied (×1)</t>
        </is>
      </c>
      <c r="AB14" s="2" t="inlineStr">
        <is>
          <t>EqpSch_Unoccupied (×1)</t>
        </is>
      </c>
      <c r="AC14" s="2" t="inlineStr">
        <is>
          <t>HtnSch_AHU (×1)</t>
        </is>
      </c>
      <c r="AD14" s="2" t="inlineStr">
        <is>
          <t>ClnSch_AHU (×1)</t>
        </is>
      </c>
      <c r="AE14" s="2" t="inlineStr">
        <is>
          <t>VntSch_AHU (×1)</t>
        </is>
      </c>
    </row>
    <row r="15" ht="23.25" customHeight="1">
      <c r="A15" s="2" t="inlineStr">
        <is>
          <t>B10</t>
        </is>
      </c>
      <c r="B15" s="2" t="inlineStr">
        <is>
          <t>FacilityServiceSpaces:Corridor</t>
        </is>
      </c>
      <c r="C15" s="2" t="n">
        <v>8</v>
      </c>
      <c r="D15" s="2" t="inlineStr">
        <is>
          <t>13</t>
        </is>
      </c>
      <c r="E15" s="2" t="inlineStr">
        <is>
          <t>1</t>
        </is>
      </c>
      <c r="F15" s="2" t="inlineStr">
        <is>
          <t>1</t>
        </is>
      </c>
      <c r="G15" s="2" t="inlineStr">
        <is>
          <t>1</t>
        </is>
      </c>
      <c r="H15" s="2" t="inlineStr">
        <is>
          <t>1</t>
        </is>
      </c>
      <c r="I15" s="2" t="inlineStr">
        <is>
          <t>0</t>
        </is>
      </c>
      <c r="J15" s="2" t="inlineStr">
        <is>
          <t>1</t>
        </is>
      </c>
      <c r="K15" s="2" t="inlineStr">
        <is>
          <t>0</t>
        </is>
      </c>
      <c r="L15" s="2" t="inlineStr">
        <is>
          <t>0</t>
        </is>
      </c>
      <c r="M15" s="2" t="inlineStr">
        <is>
          <t>6</t>
        </is>
      </c>
      <c r="N15" s="2" t="inlineStr">
        <is>
          <t>Undefined</t>
        </is>
      </c>
      <c r="O15" s="2" t="inlineStr">
        <is>
          <t>300</t>
        </is>
      </c>
      <c r="P15" s="2" t="inlineStr">
        <is>
          <t>0</t>
        </is>
      </c>
      <c r="Q15" s="2" t="inlineStr">
        <is>
          <t>7</t>
        </is>
      </c>
      <c r="R15" s="2" t="inlineStr">
        <is>
          <t>0</t>
        </is>
      </c>
      <c r="S15" s="2" t="inlineStr">
        <is>
          <t>26</t>
        </is>
      </c>
      <c r="T15" s="2" t="inlineStr">
        <is>
          <t>23</t>
        </is>
      </c>
      <c r="U15" s="2" t="inlineStr">
        <is>
          <t>23.5</t>
        </is>
      </c>
      <c r="V15" s="2" t="inlineStr">
        <is>
          <t>18</t>
        </is>
      </c>
      <c r="W15" s="2" t="inlineStr">
        <is>
          <t>70</t>
        </is>
      </c>
      <c r="X15" s="2" t="inlineStr">
        <is>
          <t>40</t>
        </is>
      </c>
      <c r="Y15" s="2" t="inlineStr">
        <is>
          <t>Undefined (×7); None (×1)</t>
        </is>
      </c>
      <c r="Z15" s="2" t="inlineStr">
        <is>
          <t>OccSch_Unoccupied (×7); None (×1)</t>
        </is>
      </c>
      <c r="AA15" s="2" t="inlineStr">
        <is>
          <t>LghSch_Unoccupied (×5); LghSch_Costant (×2); None (×1)</t>
        </is>
      </c>
      <c r="AB15" s="2" t="inlineStr">
        <is>
          <t>EqpSch_Unoccupied (×5); EqpSch_Costant (×2); None (×1)</t>
        </is>
      </c>
      <c r="AC15" s="2" t="inlineStr">
        <is>
          <t>HtnSch_AHU (×4); None (×4)</t>
        </is>
      </c>
      <c r="AD15" s="2" t="inlineStr">
        <is>
          <t>ClnSch_AHU (×4); None (×4)</t>
        </is>
      </c>
      <c r="AE15" s="2" t="inlineStr">
        <is>
          <t>VntSch_AHU (×4); None (×4)</t>
        </is>
      </c>
    </row>
    <row r="16">
      <c r="A16" s="2" t="inlineStr">
        <is>
          <t>B10</t>
        </is>
      </c>
      <c r="B16" s="2" t="inlineStr">
        <is>
          <t>FacilityServiceSpaces:ElevatorShaft</t>
        </is>
      </c>
      <c r="C16" s="2" t="n">
        <v>5</v>
      </c>
      <c r="D16" s="2" t="inlineStr">
        <is>
          <t>9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1</t>
        </is>
      </c>
      <c r="K16" s="2" t="inlineStr">
        <is>
          <t>0</t>
        </is>
      </c>
      <c r="L16" s="2" t="inlineStr">
        <is>
          <t>0</t>
        </is>
      </c>
      <c r="M16" s="2" t="inlineStr">
        <is>
          <t>6</t>
        </is>
      </c>
      <c r="N16" s="2" t="inlineStr">
        <is>
          <t>Undefined</t>
        </is>
      </c>
      <c r="O16" s="2" t="inlineStr">
        <is>
          <t>300</t>
        </is>
      </c>
      <c r="P16" s="2" t="inlineStr">
        <is>
          <t>1</t>
        </is>
      </c>
      <c r="Q16" s="2" t="inlineStr">
        <is>
          <t>0</t>
        </is>
      </c>
      <c r="R16" s="2" t="inlineStr">
        <is>
          <t>1</t>
        </is>
      </c>
      <c r="S16" s="2" t="inlineStr">
        <is>
          <t>Undefined</t>
        </is>
      </c>
      <c r="T16" s="2" t="inlineStr">
        <is>
          <t>Undefined</t>
        </is>
      </c>
      <c r="U16" s="2" t="inlineStr">
        <is>
          <t>Undefined</t>
        </is>
      </c>
      <c r="V16" s="2" t="inlineStr">
        <is>
          <t>Undefined</t>
        </is>
      </c>
      <c r="W16" s="2" t="inlineStr">
        <is>
          <t>70</t>
        </is>
      </c>
      <c r="X16" s="2" t="inlineStr">
        <is>
          <t>40</t>
        </is>
      </c>
      <c r="Y16" s="2" t="inlineStr">
        <is>
          <t>Undefined</t>
        </is>
      </c>
      <c r="Z16" s="2" t="inlineStr">
        <is>
          <t>None (×3); OccSch_Unoccupied (×2)</t>
        </is>
      </c>
      <c r="AA16" s="2" t="inlineStr">
        <is>
          <t>None (×4); LghSch_Costant (×1)</t>
        </is>
      </c>
      <c r="AB16" s="2" t="inlineStr">
        <is>
          <t>None (×4); EqpSch_Costant (×1)</t>
        </is>
      </c>
      <c r="AC16" s="2" t="inlineStr">
        <is>
          <t>None (×5)</t>
        </is>
      </c>
      <c r="AD16" s="2" t="inlineStr">
        <is>
          <t>None (×5)</t>
        </is>
      </c>
      <c r="AE16" s="2" t="inlineStr">
        <is>
          <t>None (×5)</t>
        </is>
      </c>
    </row>
    <row r="17" ht="23.25" customHeight="1">
      <c r="A17" s="2" t="inlineStr">
        <is>
          <t>B10</t>
        </is>
      </c>
      <c r="B17" s="2" t="inlineStr">
        <is>
          <t>FacilityServiceSpaces:HorizontalInfrastructure/ServiceSpaceNon-Occupied</t>
        </is>
      </c>
      <c r="C17" s="2" t="n">
        <v>8</v>
      </c>
      <c r="D17" s="2" t="inlineStr">
        <is>
          <t>12</t>
        </is>
      </c>
      <c r="E17" s="2" t="inlineStr">
        <is>
          <t>0</t>
        </is>
      </c>
      <c r="F17" s="2" t="inlineStr">
        <is>
          <t>1</t>
        </is>
      </c>
      <c r="G17" s="2" t="inlineStr">
        <is>
          <t>1</t>
        </is>
      </c>
      <c r="H17" s="2" t="inlineStr">
        <is>
          <t>1</t>
        </is>
      </c>
      <c r="I17" s="2" t="inlineStr">
        <is>
          <t>0</t>
        </is>
      </c>
      <c r="J17" s="2" t="inlineStr">
        <is>
          <t>1</t>
        </is>
      </c>
      <c r="K17" s="2" t="inlineStr">
        <is>
          <t>0</t>
        </is>
      </c>
      <c r="L17" s="2" t="inlineStr">
        <is>
          <t>0</t>
        </is>
      </c>
      <c r="M17" s="2" t="inlineStr">
        <is>
          <t>6</t>
        </is>
      </c>
      <c r="N17" s="2" t="inlineStr">
        <is>
          <t>Undefined</t>
        </is>
      </c>
      <c r="O17" s="2" t="inlineStr">
        <is>
          <t>300</t>
        </is>
      </c>
      <c r="P17" s="2" t="inlineStr">
        <is>
          <t>0</t>
        </is>
      </c>
      <c r="Q17" s="2" t="inlineStr">
        <is>
          <t>7</t>
        </is>
      </c>
      <c r="R17" s="2" t="inlineStr">
        <is>
          <t>0</t>
        </is>
      </c>
      <c r="S17" s="2" t="inlineStr">
        <is>
          <t>26</t>
        </is>
      </c>
      <c r="T17" s="2" t="inlineStr">
        <is>
          <t>23</t>
        </is>
      </c>
      <c r="U17" s="2" t="inlineStr">
        <is>
          <t>23.5</t>
        </is>
      </c>
      <c r="V17" s="2" t="inlineStr">
        <is>
          <t>18</t>
        </is>
      </c>
      <c r="W17" s="2" t="inlineStr">
        <is>
          <t>70</t>
        </is>
      </c>
      <c r="X17" s="2" t="inlineStr">
        <is>
          <t>40</t>
        </is>
      </c>
      <c r="Y17" s="2" t="inlineStr">
        <is>
          <t>None</t>
        </is>
      </c>
      <c r="Z17" s="2" t="inlineStr">
        <is>
          <t>None (×7); OccSch_Unoccupied (×1)</t>
        </is>
      </c>
      <c r="AA17" s="2" t="inlineStr">
        <is>
          <t>None (×7); LghSch_Costant (×1)</t>
        </is>
      </c>
      <c r="AB17" s="2" t="inlineStr">
        <is>
          <t>None (×7); EqpSch_Costant (×1)</t>
        </is>
      </c>
      <c r="AC17" s="2" t="inlineStr">
        <is>
          <t>None (×8)</t>
        </is>
      </c>
      <c r="AD17" s="2" t="inlineStr">
        <is>
          <t>None (×8)</t>
        </is>
      </c>
      <c r="AE17" s="2" t="inlineStr">
        <is>
          <t>None (×8)</t>
        </is>
      </c>
    </row>
    <row r="18" ht="23.25" customHeight="1">
      <c r="A18" s="2" t="inlineStr">
        <is>
          <t>B10</t>
        </is>
      </c>
      <c r="B18" s="2" t="inlineStr">
        <is>
          <t>FacilityServiceSpaces:Restroom</t>
        </is>
      </c>
      <c r="C18" s="2" t="n">
        <v>7</v>
      </c>
      <c r="D18" s="2" t="inlineStr">
        <is>
          <t>11</t>
        </is>
      </c>
      <c r="E18" s="2" t="inlineStr">
        <is>
          <t>0</t>
        </is>
      </c>
      <c r="F18" s="2" t="inlineStr">
        <is>
          <t>1</t>
        </is>
      </c>
      <c r="G18" s="2" t="inlineStr">
        <is>
          <t>1</t>
        </is>
      </c>
      <c r="H18" s="2" t="inlineStr">
        <is>
          <t>1</t>
        </is>
      </c>
      <c r="I18" s="2" t="inlineStr">
        <is>
          <t>0</t>
        </is>
      </c>
      <c r="J18" s="2" t="inlineStr">
        <is>
          <t>1</t>
        </is>
      </c>
      <c r="K18" s="2" t="inlineStr">
        <is>
          <t>Undefined</t>
        </is>
      </c>
      <c r="L18" s="2" t="inlineStr">
        <is>
          <t>0</t>
        </is>
      </c>
      <c r="M18" s="2" t="inlineStr">
        <is>
          <t>6</t>
        </is>
      </c>
      <c r="N18" s="2" t="inlineStr">
        <is>
          <t>Undefined</t>
        </is>
      </c>
      <c r="O18" s="2" t="inlineStr">
        <is>
          <t>Undefined</t>
        </is>
      </c>
      <c r="P18" s="2" t="inlineStr">
        <is>
          <t>8</t>
        </is>
      </c>
      <c r="Q18" s="2" t="inlineStr">
        <is>
          <t>0</t>
        </is>
      </c>
      <c r="R18" s="2" t="inlineStr">
        <is>
          <t>8</t>
        </is>
      </c>
      <c r="S18" s="2" t="inlineStr">
        <is>
          <t>26</t>
        </is>
      </c>
      <c r="T18" s="2" t="inlineStr">
        <is>
          <t>23</t>
        </is>
      </c>
      <c r="U18" s="2" t="inlineStr">
        <is>
          <t>23.5</t>
        </is>
      </c>
      <c r="V18" s="2" t="inlineStr">
        <is>
          <t>18</t>
        </is>
      </c>
      <c r="W18" s="2" t="inlineStr">
        <is>
          <t>Undefined</t>
        </is>
      </c>
      <c r="X18" s="2" t="inlineStr">
        <is>
          <t>Undefined</t>
        </is>
      </c>
      <c r="Y18" s="2" t="inlineStr">
        <is>
          <t>Undefined</t>
        </is>
      </c>
      <c r="Z18" s="2" t="inlineStr">
        <is>
          <t>OccSch_Unoccupied (×7)</t>
        </is>
      </c>
      <c r="AA18" s="2" t="inlineStr">
        <is>
          <t>LghSch_Costant (×7)</t>
        </is>
      </c>
      <c r="AB18" s="2" t="inlineStr">
        <is>
          <t>EqpSch_Costant (×5); EqpSch_Unoccupied (×2)</t>
        </is>
      </c>
      <c r="AC18" s="2" t="inlineStr">
        <is>
          <t>HtnSch_AHU (×7)</t>
        </is>
      </c>
      <c r="AD18" s="2" t="inlineStr">
        <is>
          <t>ClnSch_AHU (×7)</t>
        </is>
      </c>
      <c r="AE18" s="2" t="inlineStr">
        <is>
          <t>VntSch_AHU (×7)</t>
        </is>
      </c>
    </row>
    <row r="19" ht="23.25" customHeight="1">
      <c r="A19" s="2" t="inlineStr">
        <is>
          <t>B10</t>
        </is>
      </c>
      <c r="B19" s="2" t="inlineStr">
        <is>
          <t>FacilityServiceSpaces:Stairway</t>
        </is>
      </c>
      <c r="C19" s="2" t="n">
        <v>5</v>
      </c>
      <c r="D19" s="2" t="inlineStr">
        <is>
          <t>8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1</t>
        </is>
      </c>
      <c r="K19" s="2" t="inlineStr">
        <is>
          <t>0</t>
        </is>
      </c>
      <c r="L19" s="2" t="inlineStr">
        <is>
          <t>0</t>
        </is>
      </c>
      <c r="M19" s="2" t="inlineStr">
        <is>
          <t>6</t>
        </is>
      </c>
      <c r="N19" s="2" t="inlineStr">
        <is>
          <t>Undefined</t>
        </is>
      </c>
      <c r="O19" s="2" t="inlineStr">
        <is>
          <t>150</t>
        </is>
      </c>
      <c r="P19" s="2" t="inlineStr">
        <is>
          <t>1</t>
        </is>
      </c>
      <c r="Q19" s="2" t="inlineStr">
        <is>
          <t>0</t>
        </is>
      </c>
      <c r="R19" s="2" t="inlineStr">
        <is>
          <t>1</t>
        </is>
      </c>
      <c r="S19" s="2" t="inlineStr">
        <is>
          <t>Undefined</t>
        </is>
      </c>
      <c r="T19" s="2" t="inlineStr">
        <is>
          <t>Undefined</t>
        </is>
      </c>
      <c r="U19" s="2" t="inlineStr">
        <is>
          <t>Undefined</t>
        </is>
      </c>
      <c r="V19" s="2" t="inlineStr">
        <is>
          <t>Undefined</t>
        </is>
      </c>
      <c r="W19" s="2" t="inlineStr">
        <is>
          <t>70</t>
        </is>
      </c>
      <c r="X19" s="2" t="inlineStr">
        <is>
          <t>40</t>
        </is>
      </c>
      <c r="Y19" s="2" t="inlineStr">
        <is>
          <t>Undefined (×4); None (×1)</t>
        </is>
      </c>
      <c r="Z19" s="2" t="inlineStr">
        <is>
          <t>OccSch_Unoccupied (×4); None (×1)</t>
        </is>
      </c>
      <c r="AA19" s="2" t="inlineStr">
        <is>
          <t>LghSch_Unoccupied (×4); None (×1)</t>
        </is>
      </c>
      <c r="AB19" s="2" t="inlineStr">
        <is>
          <t>EqpSch_Unoccupied (×3); None (×1); EqpSch_Costant (×1)</t>
        </is>
      </c>
      <c r="AC19" s="2" t="inlineStr">
        <is>
          <t>HtnSch_AHU (×4); None (×1)</t>
        </is>
      </c>
      <c r="AD19" s="2" t="inlineStr">
        <is>
          <t>ClnSch_AHU (×4); None (×1)</t>
        </is>
      </c>
      <c r="AE19" s="2" t="inlineStr">
        <is>
          <t>VntSch_AHU (×4); None (×1)</t>
        </is>
      </c>
    </row>
    <row r="20" ht="23.25" customHeight="1">
      <c r="A20" s="2" t="inlineStr">
        <is>
          <t>B10</t>
        </is>
      </c>
      <c r="B20" s="2" t="inlineStr">
        <is>
          <t>FacilityServiceSpaces:UtilityEquipmentRoom</t>
        </is>
      </c>
      <c r="C20" s="2" t="n">
        <v>3</v>
      </c>
      <c r="D20" s="2" t="inlineStr">
        <is>
          <t>10</t>
        </is>
      </c>
      <c r="E20" s="2" t="inlineStr">
        <is>
          <t>0</t>
        </is>
      </c>
      <c r="F20" s="2" t="inlineStr">
        <is>
          <t>1</t>
        </is>
      </c>
      <c r="G20" s="2" t="inlineStr">
        <is>
          <t>1</t>
        </is>
      </c>
      <c r="H20" s="2" t="inlineStr">
        <is>
          <t>1</t>
        </is>
      </c>
      <c r="I20" s="2" t="inlineStr">
        <is>
          <t>0</t>
        </is>
      </c>
      <c r="J20" s="2" t="inlineStr">
        <is>
          <t>1</t>
        </is>
      </c>
      <c r="K20" s="2" t="inlineStr">
        <is>
          <t>0</t>
        </is>
      </c>
      <c r="L20" s="2" t="inlineStr">
        <is>
          <t>0</t>
        </is>
      </c>
      <c r="M20" s="2" t="inlineStr">
        <is>
          <t>6</t>
        </is>
      </c>
      <c r="N20" s="2" t="inlineStr">
        <is>
          <t>Undefined</t>
        </is>
      </c>
      <c r="O20" s="2" t="inlineStr">
        <is>
          <t>300</t>
        </is>
      </c>
      <c r="P20" s="2" t="inlineStr">
        <is>
          <t>0</t>
        </is>
      </c>
      <c r="Q20" s="2" t="inlineStr">
        <is>
          <t>7</t>
        </is>
      </c>
      <c r="R20" s="2" t="inlineStr">
        <is>
          <t>0</t>
        </is>
      </c>
      <c r="S20" s="2" t="inlineStr">
        <is>
          <t>26</t>
        </is>
      </c>
      <c r="T20" s="2" t="inlineStr">
        <is>
          <t>23</t>
        </is>
      </c>
      <c r="U20" s="2" t="inlineStr">
        <is>
          <t>23.5</t>
        </is>
      </c>
      <c r="V20" s="2" t="inlineStr">
        <is>
          <t>18</t>
        </is>
      </c>
      <c r="W20" s="2" t="inlineStr">
        <is>
          <t>70</t>
        </is>
      </c>
      <c r="X20" s="2" t="inlineStr">
        <is>
          <t>40</t>
        </is>
      </c>
      <c r="Y20" s="2" t="inlineStr">
        <is>
          <t>Undefined</t>
        </is>
      </c>
      <c r="Z20" s="2" t="inlineStr">
        <is>
          <t>OccSch_Unoccupied (×3)</t>
        </is>
      </c>
      <c r="AA20" s="2" t="inlineStr">
        <is>
          <t>LghSch_Unoccupied (×2); LghSch_Costant (×1)</t>
        </is>
      </c>
      <c r="AB20" s="2" t="inlineStr">
        <is>
          <t>EqpSch_Costant (×2); EqpSch_Unoccupied (×1)</t>
        </is>
      </c>
      <c r="AC20" s="2" t="inlineStr">
        <is>
          <t>None (×2); HtnSch_AHU (×1)</t>
        </is>
      </c>
      <c r="AD20" s="2" t="inlineStr">
        <is>
          <t>None (×2); ClnSch_AHU (×1)</t>
        </is>
      </c>
      <c r="AE20" s="2" t="inlineStr">
        <is>
          <t>None (×2); VntSch_AHU (×1)</t>
        </is>
      </c>
    </row>
    <row r="21" ht="23.25" customHeight="1">
      <c r="A21" s="2" t="inlineStr">
        <is>
          <t>B10</t>
        </is>
      </c>
      <c r="B21" s="2" t="inlineStr">
        <is>
          <t>ParkingSpaces:InteriorParkingSpaces</t>
        </is>
      </c>
      <c r="C21" s="2" t="n">
        <v>3</v>
      </c>
      <c r="D21" s="2" t="inlineStr">
        <is>
          <t>15</t>
        </is>
      </c>
      <c r="E21" s="2" t="inlineStr">
        <is>
          <t>0</t>
        </is>
      </c>
      <c r="F21" s="2" t="inlineStr">
        <is>
          <t>0</t>
        </is>
      </c>
      <c r="G21" s="2" t="inlineStr">
        <is>
          <t>0</t>
        </is>
      </c>
      <c r="H21" s="2" t="inlineStr">
        <is>
          <t>0</t>
        </is>
      </c>
      <c r="I21" s="2" t="inlineStr">
        <is>
          <t>1</t>
        </is>
      </c>
      <c r="J21" s="2" t="inlineStr">
        <is>
          <t>1</t>
        </is>
      </c>
      <c r="K21" s="2" t="inlineStr">
        <is>
          <t>Undefined</t>
        </is>
      </c>
      <c r="L21" s="2" t="inlineStr">
        <is>
          <t>0.01</t>
        </is>
      </c>
      <c r="M21" s="2" t="inlineStr">
        <is>
          <t>6</t>
        </is>
      </c>
      <c r="N21" s="2" t="inlineStr">
        <is>
          <t>0</t>
        </is>
      </c>
      <c r="O21" s="2" t="inlineStr">
        <is>
          <t>150</t>
        </is>
      </c>
      <c r="P21" s="2" t="inlineStr">
        <is>
          <t>Undefined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Undefined</t>
        </is>
      </c>
      <c r="T21" s="2" t="inlineStr">
        <is>
          <t>Undefined</t>
        </is>
      </c>
      <c r="U21" s="2" t="inlineStr">
        <is>
          <t>Undefined</t>
        </is>
      </c>
      <c r="V21" s="2" t="inlineStr">
        <is>
          <t>Undefined</t>
        </is>
      </c>
      <c r="W21" s="2" t="inlineStr">
        <is>
          <t>Undefined</t>
        </is>
      </c>
      <c r="X21" s="2" t="inlineStr">
        <is>
          <t>Undefined</t>
        </is>
      </c>
      <c r="Y21" s="2" t="inlineStr">
        <is>
          <t>Undefined</t>
        </is>
      </c>
      <c r="Z21" s="2" t="inlineStr">
        <is>
          <t>OccSch_Unoccupied (×2); OccSch_A0.1/A0.2 (×1)</t>
        </is>
      </c>
      <c r="AA21" s="2" t="inlineStr">
        <is>
          <t>LghSch_Unoccupied (×2); LghSch_Costant (×1)</t>
        </is>
      </c>
      <c r="AB21" s="2" t="inlineStr">
        <is>
          <t>EqpSch_Costant (×3)</t>
        </is>
      </c>
      <c r="AC21" s="2" t="inlineStr">
        <is>
          <t>None (×3)</t>
        </is>
      </c>
      <c r="AD21" s="2" t="inlineStr">
        <is>
          <t>None (×3)</t>
        </is>
      </c>
      <c r="AE21" s="2" t="inlineStr">
        <is>
          <t>None (×3)</t>
        </is>
      </c>
    </row>
    <row r="22">
      <c r="A22" s="2" t="inlineStr">
        <is>
          <t>B10</t>
        </is>
      </c>
      <c r="B22" s="2" t="inlineStr">
        <is>
          <t>ProtectiveSpaces:EntryPorch</t>
        </is>
      </c>
      <c r="C22" s="2" t="n">
        <v>1</v>
      </c>
      <c r="D22" s="2" t="inlineStr">
        <is>
          <t>16</t>
        </is>
      </c>
      <c r="E22" s="2" t="inlineStr">
        <is>
          <t>0</t>
        </is>
      </c>
      <c r="F22" s="2" t="inlineStr">
        <is>
          <t>0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1</t>
        </is>
      </c>
      <c r="J22" s="2" t="inlineStr">
        <is>
          <t>1</t>
        </is>
      </c>
      <c r="K22" s="2" t="inlineStr">
        <is>
          <t>0</t>
        </is>
      </c>
      <c r="L22" s="2" t="inlineStr">
        <is>
          <t>0</t>
        </is>
      </c>
      <c r="M22" s="2" t="inlineStr">
        <is>
          <t>6</t>
        </is>
      </c>
      <c r="N22" s="2" t="inlineStr">
        <is>
          <t>Undefined</t>
        </is>
      </c>
      <c r="O22" s="2" t="inlineStr">
        <is>
          <t>200</t>
        </is>
      </c>
      <c r="P22" s="2" t="inlineStr">
        <is>
          <t>1</t>
        </is>
      </c>
      <c r="Q22" s="2" t="inlineStr">
        <is>
          <t>0</t>
        </is>
      </c>
      <c r="R22" s="2" t="inlineStr">
        <is>
          <t>1</t>
        </is>
      </c>
      <c r="S22" s="2" t="inlineStr">
        <is>
          <t>Undefined</t>
        </is>
      </c>
      <c r="T22" s="2" t="inlineStr">
        <is>
          <t>Undefined</t>
        </is>
      </c>
      <c r="U22" s="2" t="inlineStr">
        <is>
          <t>Undefined</t>
        </is>
      </c>
      <c r="V22" s="2" t="inlineStr">
        <is>
          <t>Undefined</t>
        </is>
      </c>
      <c r="W22" s="2" t="inlineStr">
        <is>
          <t>Undefined</t>
        </is>
      </c>
      <c r="X22" s="2" t="inlineStr">
        <is>
          <t>Undefined</t>
        </is>
      </c>
      <c r="Y22" s="2" t="inlineStr">
        <is>
          <t>Undefined</t>
        </is>
      </c>
      <c r="Z22" s="2" t="inlineStr">
        <is>
          <t>None (×1)</t>
        </is>
      </c>
      <c r="AA22" s="2" t="inlineStr">
        <is>
          <t>None (×1)</t>
        </is>
      </c>
      <c r="AB22" s="2" t="inlineStr">
        <is>
          <t>None (×1)</t>
        </is>
      </c>
      <c r="AC22" s="2" t="inlineStr">
        <is>
          <t>None (×1)</t>
        </is>
      </c>
      <c r="AD22" s="2" t="inlineStr">
        <is>
          <t>None (×1)</t>
        </is>
      </c>
      <c r="AE22" s="2" t="inlineStr">
        <is>
          <t>None (×1)</t>
        </is>
      </c>
    </row>
    <row r="23">
      <c r="A23" s="2" t="inlineStr">
        <is>
          <t>B10</t>
        </is>
      </c>
      <c r="B23" s="2" t="inlineStr">
        <is>
          <t>ServiceActivitySpaces:SnackBar</t>
        </is>
      </c>
      <c r="C23" s="2" t="n">
        <v>1</v>
      </c>
      <c r="D23" s="2" t="inlineStr">
        <is>
          <t>18</t>
        </is>
      </c>
      <c r="E23" s="2" t="inlineStr">
        <is>
          <t>1</t>
        </is>
      </c>
      <c r="F23" s="2" t="inlineStr">
        <is>
          <t>1</t>
        </is>
      </c>
      <c r="G23" s="2" t="inlineStr">
        <is>
          <t>1</t>
        </is>
      </c>
      <c r="H23" s="2" t="inlineStr">
        <is>
          <t>1</t>
        </is>
      </c>
      <c r="I23" s="2" t="inlineStr">
        <is>
          <t>0</t>
        </is>
      </c>
      <c r="J23" s="2" t="inlineStr">
        <is>
          <t>1</t>
        </is>
      </c>
      <c r="K23" s="2" t="inlineStr">
        <is>
          <t>0.8</t>
        </is>
      </c>
      <c r="L23" s="2" t="inlineStr">
        <is>
          <t>0.7</t>
        </is>
      </c>
      <c r="M23" s="2" t="inlineStr">
        <is>
          <t>6</t>
        </is>
      </c>
      <c r="N23" s="2" t="inlineStr">
        <is>
          <t>Undefined</t>
        </is>
      </c>
      <c r="O23" s="2" t="inlineStr">
        <is>
          <t>500</t>
        </is>
      </c>
      <c r="P23" s="2" t="inlineStr">
        <is>
          <t>4.81128</t>
        </is>
      </c>
      <c r="Q23" s="2" t="inlineStr">
        <is>
          <t>7</t>
        </is>
      </c>
      <c r="R23" s="2" t="inlineStr">
        <is>
          <t>0</t>
        </is>
      </c>
      <c r="S23" s="2" t="inlineStr">
        <is>
          <t>26</t>
        </is>
      </c>
      <c r="T23" s="2" t="inlineStr">
        <is>
          <t>23</t>
        </is>
      </c>
      <c r="U23" s="2" t="inlineStr">
        <is>
          <t>23.5</t>
        </is>
      </c>
      <c r="V23" s="2" t="inlineStr">
        <is>
          <t>18</t>
        </is>
      </c>
      <c r="W23" s="2" t="inlineStr">
        <is>
          <t>70</t>
        </is>
      </c>
      <c r="X23" s="2" t="inlineStr">
        <is>
          <t>40</t>
        </is>
      </c>
      <c r="Y23" s="2" t="inlineStr">
        <is>
          <t>Undefined</t>
        </is>
      </c>
      <c r="Z23" s="2" t="inlineStr">
        <is>
          <t>OccSch_Unoccupied (×1)</t>
        </is>
      </c>
      <c r="AA23" s="2" t="inlineStr">
        <is>
          <t>LghSch_Costant (×1)</t>
        </is>
      </c>
      <c r="AB23" s="2" t="inlineStr">
        <is>
          <t>EqpSch_Unoccupied (×1)</t>
        </is>
      </c>
      <c r="AC23" s="2" t="inlineStr">
        <is>
          <t>HtnSch_AHU (×1)</t>
        </is>
      </c>
      <c r="AD23" s="2" t="inlineStr">
        <is>
          <t>ClnSch_AHU (×1)</t>
        </is>
      </c>
      <c r="AE23" s="2" t="inlineStr">
        <is>
          <t>VntSch_AHU (×1)</t>
        </is>
      </c>
    </row>
    <row r="24" ht="23.25" customHeight="1">
      <c r="A24" s="2" t="inlineStr">
        <is>
          <t>B10</t>
        </is>
      </c>
      <c r="B24" s="2" t="inlineStr">
        <is>
          <t>StorageSpaces:GeneralStorageSpace</t>
        </is>
      </c>
      <c r="C24" s="2" t="n">
        <v>3</v>
      </c>
      <c r="D24" s="2" t="inlineStr">
        <is>
          <t>20</t>
        </is>
      </c>
      <c r="E24" s="2" t="inlineStr">
        <is>
          <t>0</t>
        </is>
      </c>
      <c r="F24" s="2" t="inlineStr">
        <is>
          <t>1</t>
        </is>
      </c>
      <c r="G24" s="2" t="inlineStr">
        <is>
          <t>1</t>
        </is>
      </c>
      <c r="H24" s="2" t="inlineStr">
        <is>
          <t>1</t>
        </is>
      </c>
      <c r="I24" s="2" t="inlineStr">
        <is>
          <t>0</t>
        </is>
      </c>
      <c r="J24" s="2" t="inlineStr">
        <is>
          <t>1</t>
        </is>
      </c>
      <c r="K24" s="2" t="inlineStr">
        <is>
          <t>0</t>
        </is>
      </c>
      <c r="L24" s="2" t="inlineStr">
        <is>
          <t>0</t>
        </is>
      </c>
      <c r="M24" s="2" t="inlineStr">
        <is>
          <t>6</t>
        </is>
      </c>
      <c r="N24" s="2" t="inlineStr">
        <is>
          <t>Undefined</t>
        </is>
      </c>
      <c r="O24" s="2" t="inlineStr">
        <is>
          <t>200</t>
        </is>
      </c>
      <c r="P24" s="2" t="inlineStr">
        <is>
          <t>0</t>
        </is>
      </c>
      <c r="Q24" s="2" t="inlineStr">
        <is>
          <t>7</t>
        </is>
      </c>
      <c r="R24" s="2" t="inlineStr">
        <is>
          <t>0</t>
        </is>
      </c>
      <c r="S24" s="2" t="inlineStr">
        <is>
          <t>26</t>
        </is>
      </c>
      <c r="T24" s="2" t="inlineStr">
        <is>
          <t>23</t>
        </is>
      </c>
      <c r="U24" s="2" t="inlineStr">
        <is>
          <t>23.5</t>
        </is>
      </c>
      <c r="V24" s="2" t="inlineStr">
        <is>
          <t>18</t>
        </is>
      </c>
      <c r="W24" s="2" t="inlineStr">
        <is>
          <t>70</t>
        </is>
      </c>
      <c r="X24" s="2" t="inlineStr">
        <is>
          <t>40</t>
        </is>
      </c>
      <c r="Y24" s="2" t="inlineStr">
        <is>
          <t>None (×2); Undefined (×1)</t>
        </is>
      </c>
      <c r="Z24" s="2" t="inlineStr">
        <is>
          <t>OccSch_Unoccupied (×3)</t>
        </is>
      </c>
      <c r="AA24" s="2" t="inlineStr">
        <is>
          <t>LghSch_Unoccupied (×2); LghSch_Costant (×1)</t>
        </is>
      </c>
      <c r="AB24" s="2" t="inlineStr">
        <is>
          <t>EqpSch_Costant (×3)</t>
        </is>
      </c>
      <c r="AC24" s="2" t="inlineStr">
        <is>
          <t>None (×2); HtnSch_AHU (×1)</t>
        </is>
      </c>
      <c r="AD24" s="2" t="inlineStr">
        <is>
          <t>None (×2); ClnSch_AHU (×1)</t>
        </is>
      </c>
      <c r="AE24" s="2" t="inlineStr">
        <is>
          <t>None (×2); VntSch_AHU (×1)</t>
        </is>
      </c>
    </row>
  </sheetData>
  <autoFilter ref="A1:AE24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8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25"/>
  <cols>
    <col width="8" customWidth="1" min="1" max="1"/>
    <col width="14" customWidth="1" min="2" max="2"/>
    <col width="10" customWidth="1" min="3" max="3"/>
    <col width="18" customWidth="1" min="4" max="4"/>
    <col width="9" customWidth="1" min="5" max="5"/>
    <col width="18" customWidth="1" min="6" max="6"/>
    <col width="10" customWidth="1" min="7" max="8"/>
    <col width="18" customWidth="1" min="9" max="9"/>
    <col width="10" customWidth="1" min="10" max="11"/>
    <col width="11" customWidth="1" min="12" max="13"/>
    <col width="10" customWidth="1" min="14" max="14"/>
    <col width="14" customWidth="1" min="15" max="17"/>
    <col width="10" customWidth="1" min="18" max="19"/>
    <col width="18" customWidth="1" min="20" max="21"/>
    <col width="11" customWidth="1" min="22" max="22"/>
    <col width="9" customWidth="1" min="23" max="24"/>
  </cols>
  <sheetData>
    <row r="1" ht="52.5" customHeight="1">
      <c r="A1" s="1" t="inlineStr">
        <is>
          <t>Building</t>
        </is>
      </c>
      <c r="B1" s="1" t="inlineStr">
        <is>
          <t>Zone (E+ Zone.Name)</t>
        </is>
      </c>
      <c r="C1" s="1" t="inlineStr">
        <is>
          <t>People/Area (person/m²)</t>
        </is>
      </c>
      <c r="D1" s="1" t="inlineStr">
        <is>
          <t>Occupancy schedule</t>
        </is>
      </c>
      <c r="E1" s="1" t="inlineStr">
        <is>
          <t>Lights (W/m²)</t>
        </is>
      </c>
      <c r="F1" s="1" t="inlineStr">
        <is>
          <t>Lighting schedule – baseline</t>
        </is>
      </c>
      <c r="G1" s="1" t="inlineStr">
        <is>
          <t>Equipment (W/m²) – baseline</t>
        </is>
      </c>
      <c r="H1" s="1" t="inlineStr">
        <is>
          <t>Equipment (W/m²) – calibrated</t>
        </is>
      </c>
      <c r="I1" s="1" t="inlineStr">
        <is>
          <t>Equipment schedule</t>
        </is>
      </c>
      <c r="J1" s="1" t="inlineStr">
        <is>
          <t>OA per person (m³/s·p)</t>
        </is>
      </c>
      <c r="K1" s="1" t="inlineStr">
        <is>
          <t>OA per person (L/s·p)</t>
        </is>
      </c>
      <c r="L1" s="1" t="inlineStr">
        <is>
          <t>OA per floor area (m³/s·m²)</t>
        </is>
      </c>
      <c r="M1" s="1" t="inlineStr">
        <is>
          <t>OA per floor area (L/s·m²)</t>
        </is>
      </c>
      <c r="N1" s="1" t="inlineStr">
        <is>
          <t>OA method</t>
        </is>
      </c>
      <c r="O1" s="1" t="inlineStr">
        <is>
          <t>System availability</t>
        </is>
      </c>
      <c r="P1" s="1" t="inlineStr">
        <is>
          <t>Heating availability</t>
        </is>
      </c>
      <c r="Q1" s="1" t="inlineStr">
        <is>
          <t>Cooling availability</t>
        </is>
      </c>
      <c r="R1" s="1" t="inlineStr">
        <is>
          <t>Dehumidification setpoint (%)</t>
        </is>
      </c>
      <c r="S1" s="1" t="inlineStr">
        <is>
          <t>Humidification setpoint (%)</t>
        </is>
      </c>
      <c r="T1" s="1" t="inlineStr">
        <is>
          <t>Thermostat heating schedule</t>
        </is>
      </c>
      <c r="U1" s="1" t="inlineStr">
        <is>
          <t>Thermostat cooling schedule</t>
        </is>
      </c>
      <c r="V1" s="1" t="inlineStr">
        <is>
          <t>Infiltration (m³/s per m² ext.)</t>
        </is>
      </c>
      <c r="W1" s="1" t="inlineStr">
        <is>
          <t>N opaque surfaces</t>
        </is>
      </c>
      <c r="X1" s="1" t="inlineStr">
        <is>
          <t>N fenestration surfaces</t>
        </is>
      </c>
    </row>
    <row r="2">
      <c r="A2" s="2" t="inlineStr">
        <is>
          <t>B09</t>
        </is>
      </c>
      <c r="B2" s="2" t="inlineStr">
        <is>
          <t>debugZone0</t>
        </is>
      </c>
      <c r="C2" s="2" t="n">
        <v>0</v>
      </c>
      <c r="D2" s="2" t="inlineStr">
        <is>
          <t>OccSch_Unoccupied</t>
        </is>
      </c>
      <c r="E2" s="2" t="n">
        <v>6</v>
      </c>
      <c r="F2" s="2" t="inlineStr">
        <is>
          <t>LghSch_Costant</t>
        </is>
      </c>
      <c r="G2" s="2" t="n">
        <v>0</v>
      </c>
      <c r="H2" s="2" t="n">
        <v>2</v>
      </c>
      <c r="I2" s="2" t="inlineStr">
        <is>
          <t>EqpSch_Costant</t>
        </is>
      </c>
      <c r="J2" s="2" t="n">
        <v>0</v>
      </c>
      <c r="K2" s="2">
        <f>IF(J2="","",J2*1000)</f>
        <v/>
      </c>
      <c r="L2" s="2" t="n">
        <v>0</v>
      </c>
      <c r="M2" s="2">
        <f>IF(L2="","",L2*1000)</f>
        <v/>
      </c>
      <c r="N2" s="2" t="inlineStr">
        <is>
          <t>Maximum</t>
        </is>
      </c>
      <c r="O2" s="2" t="inlineStr">
        <is>
          <t>AlwaysOff</t>
        </is>
      </c>
      <c r="P2" s="2" t="inlineStr">
        <is>
          <t>AlwaysOff</t>
        </is>
      </c>
      <c r="Q2" s="2" t="inlineStr">
        <is>
          <t>AlwaysOff</t>
        </is>
      </c>
      <c r="R2" s="2" t="n">
        <v>70</v>
      </c>
      <c r="S2" s="2" t="n">
        <v>40</v>
      </c>
      <c r="T2" s="2" t="inlineStr">
        <is>
          <t>Generic room Heating</t>
        </is>
      </c>
      <c r="U2" s="2" t="inlineStr">
        <is>
          <t>Generic room Cooling</t>
        </is>
      </c>
      <c r="V2" s="2" t="n">
        <v>0.0001</v>
      </c>
      <c r="W2" s="2" t="n">
        <v>6</v>
      </c>
      <c r="X2" s="2" t="n">
        <v>0</v>
      </c>
    </row>
    <row r="3">
      <c r="A3" s="2" t="inlineStr">
        <is>
          <t>B09</t>
        </is>
      </c>
      <c r="B3" s="2" t="inlineStr">
        <is>
          <t>debugZone1</t>
        </is>
      </c>
      <c r="C3" s="2" t="n">
        <v>0</v>
      </c>
      <c r="D3" s="2" t="inlineStr">
        <is>
          <t>OccSch_Unoccupied</t>
        </is>
      </c>
      <c r="E3" s="2" t="n">
        <v>6</v>
      </c>
      <c r="F3" s="2" t="inlineStr">
        <is>
          <t>LghSch_Costant</t>
        </is>
      </c>
      <c r="G3" s="2" t="n">
        <v>0</v>
      </c>
      <c r="H3" s="2" t="n">
        <v>2</v>
      </c>
      <c r="I3" s="2" t="inlineStr">
        <is>
          <t>EqpSch_Costant</t>
        </is>
      </c>
      <c r="J3" s="2" t="n">
        <v>0</v>
      </c>
      <c r="K3" s="2">
        <f>IF(J3="","",J3*1000)</f>
        <v/>
      </c>
      <c r="L3" s="2" t="n">
        <v>0</v>
      </c>
      <c r="M3" s="2">
        <f>IF(L3="","",L3*1000)</f>
        <v/>
      </c>
      <c r="N3" s="2" t="inlineStr">
        <is>
          <t>Maximum</t>
        </is>
      </c>
      <c r="O3" s="2" t="inlineStr">
        <is>
          <t>AlwaysOff</t>
        </is>
      </c>
      <c r="P3" s="2" t="inlineStr">
        <is>
          <t>AlwaysOff</t>
        </is>
      </c>
      <c r="Q3" s="2" t="inlineStr">
        <is>
          <t>AlwaysOff</t>
        </is>
      </c>
      <c r="R3" s="2" t="n">
        <v>70</v>
      </c>
      <c r="S3" s="2" t="n">
        <v>40</v>
      </c>
      <c r="T3" s="2" t="inlineStr">
        <is>
          <t>Generic room Heating</t>
        </is>
      </c>
      <c r="U3" s="2" t="inlineStr">
        <is>
          <t>Generic room Cooling</t>
        </is>
      </c>
      <c r="V3" s="2" t="n">
        <v>0.0001</v>
      </c>
      <c r="W3" s="2" t="n">
        <v>6</v>
      </c>
      <c r="X3" s="2" t="n">
        <v>0</v>
      </c>
    </row>
    <row r="4">
      <c r="A4" s="2" t="inlineStr">
        <is>
          <t>B09</t>
        </is>
      </c>
      <c r="B4" s="2" t="inlineStr">
        <is>
          <t>debugZone10</t>
        </is>
      </c>
      <c r="C4" s="2" t="n">
        <v>0.3</v>
      </c>
      <c r="D4" s="2" t="inlineStr">
        <is>
          <t>OccSch_Unoccupied</t>
        </is>
      </c>
      <c r="E4" s="2" t="n">
        <v>6</v>
      </c>
      <c r="F4" s="2" t="inlineStr">
        <is>
          <t>LghSch_Costant</t>
        </is>
      </c>
      <c r="G4" s="2" t="n">
        <v>0</v>
      </c>
      <c r="H4" s="2" t="n">
        <v>2</v>
      </c>
      <c r="I4" s="2" t="inlineStr">
        <is>
          <t>EqpSch_Costant</t>
        </is>
      </c>
      <c r="J4" s="2" t="n">
        <v>0.007</v>
      </c>
      <c r="K4" s="2">
        <f>IF(J4="","",J4*1000)</f>
        <v/>
      </c>
      <c r="L4" s="2" t="n">
        <v>0.00176911</v>
      </c>
      <c r="M4" s="2">
        <f>IF(L4="","",L4*1000)</f>
        <v/>
      </c>
      <c r="N4" s="2" t="inlineStr">
        <is>
          <t>Maximum</t>
        </is>
      </c>
      <c r="O4" s="2" t="inlineStr">
        <is>
          <t>VntSch_AHU</t>
        </is>
      </c>
      <c r="P4" s="2" t="inlineStr">
        <is>
          <t>HtnSch_AHU</t>
        </is>
      </c>
      <c r="Q4" s="2" t="inlineStr">
        <is>
          <t>ClnSch_AHU</t>
        </is>
      </c>
      <c r="R4" s="2" t="n">
        <v>70</v>
      </c>
      <c r="S4" s="2" t="n">
        <v>40</v>
      </c>
      <c r="T4" s="2" t="inlineStr">
        <is>
          <t>Generic room Heating</t>
        </is>
      </c>
      <c r="U4" s="2" t="inlineStr">
        <is>
          <t>Generic room Cooling</t>
        </is>
      </c>
      <c r="V4" s="2" t="n">
        <v>0.0001</v>
      </c>
      <c r="W4" s="2" t="n">
        <v>6</v>
      </c>
      <c r="X4" s="2" t="n">
        <v>0</v>
      </c>
    </row>
    <row r="5">
      <c r="A5" s="2" t="inlineStr">
        <is>
          <t>B09</t>
        </is>
      </c>
      <c r="B5" s="2" t="inlineStr">
        <is>
          <t>debugZone11</t>
        </is>
      </c>
      <c r="C5" s="2" t="n">
        <v>0</v>
      </c>
      <c r="D5" s="2" t="inlineStr">
        <is>
          <t>OccSch_Unoccupied</t>
        </is>
      </c>
      <c r="E5" s="2" t="n">
        <v>6</v>
      </c>
      <c r="F5" s="2" t="inlineStr">
        <is>
          <t>LghSch_Costant</t>
        </is>
      </c>
      <c r="G5" s="2" t="n">
        <v>0</v>
      </c>
      <c r="H5" s="2" t="n">
        <v>2</v>
      </c>
      <c r="I5" s="2" t="inlineStr">
        <is>
          <t>EqpSch_Costant</t>
        </is>
      </c>
      <c r="J5" s="2" t="n">
        <v>0</v>
      </c>
      <c r="K5" s="2">
        <f>IF(J5="","",J5*1000)</f>
        <v/>
      </c>
      <c r="L5" s="2" t="n">
        <v>0</v>
      </c>
      <c r="M5" s="2">
        <f>IF(L5="","",L5*1000)</f>
        <v/>
      </c>
      <c r="N5" s="2" t="inlineStr">
        <is>
          <t>Maximum</t>
        </is>
      </c>
      <c r="O5" s="2" t="inlineStr">
        <is>
          <t>VntSch_AHU</t>
        </is>
      </c>
      <c r="P5" s="2" t="inlineStr">
        <is>
          <t>HtnSch_AHU</t>
        </is>
      </c>
      <c r="Q5" s="2" t="inlineStr">
        <is>
          <t>ClnSch_AHU</t>
        </is>
      </c>
      <c r="R5" s="2" t="n">
        <v>70</v>
      </c>
      <c r="S5" s="2" t="n">
        <v>40</v>
      </c>
      <c r="T5" s="2" t="inlineStr">
        <is>
          <t>Generic room Heating</t>
        </is>
      </c>
      <c r="U5" s="2" t="inlineStr">
        <is>
          <t>Generic room Cooling</t>
        </is>
      </c>
      <c r="V5" s="2" t="n">
        <v>0.0001</v>
      </c>
      <c r="W5" s="2" t="n">
        <v>6</v>
      </c>
      <c r="X5" s="2" t="n">
        <v>0</v>
      </c>
    </row>
    <row r="6">
      <c r="A6" s="2" t="inlineStr">
        <is>
          <t>B09</t>
        </is>
      </c>
      <c r="B6" s="2" t="inlineStr">
        <is>
          <t>debugZone2</t>
        </is>
      </c>
      <c r="C6" s="2" t="n">
        <v>0</v>
      </c>
      <c r="D6" s="2" t="inlineStr">
        <is>
          <t>OccSch_Unoccupied</t>
        </is>
      </c>
      <c r="E6" s="2" t="n">
        <v>6</v>
      </c>
      <c r="F6" s="2" t="inlineStr">
        <is>
          <t>LghSch_Costant</t>
        </is>
      </c>
      <c r="G6" s="2" t="n">
        <v>0</v>
      </c>
      <c r="H6" s="2" t="n">
        <v>2</v>
      </c>
      <c r="I6" s="2" t="inlineStr">
        <is>
          <t>EqpSch_Costant</t>
        </is>
      </c>
      <c r="J6" s="2" t="n">
        <v>0</v>
      </c>
      <c r="K6" s="2">
        <f>IF(J6="","",J6*1000)</f>
        <v/>
      </c>
      <c r="L6" s="2" t="n">
        <v>0</v>
      </c>
      <c r="M6" s="2">
        <f>IF(L6="","",L6*1000)</f>
        <v/>
      </c>
      <c r="N6" s="2" t="inlineStr">
        <is>
          <t>Maximum</t>
        </is>
      </c>
      <c r="O6" s="2" t="inlineStr">
        <is>
          <t>AlwaysOff</t>
        </is>
      </c>
      <c r="P6" s="2" t="inlineStr">
        <is>
          <t>AlwaysOff</t>
        </is>
      </c>
      <c r="Q6" s="2" t="inlineStr">
        <is>
          <t>AlwaysOff</t>
        </is>
      </c>
      <c r="R6" s="2" t="n">
        <v>70</v>
      </c>
      <c r="S6" s="2" t="n">
        <v>40</v>
      </c>
      <c r="T6" s="2" t="inlineStr">
        <is>
          <t>Generic room Heating</t>
        </is>
      </c>
      <c r="U6" s="2" t="inlineStr">
        <is>
          <t>Generic room Cooling</t>
        </is>
      </c>
      <c r="V6" s="2" t="n">
        <v>0.0001</v>
      </c>
      <c r="W6" s="2" t="n">
        <v>8</v>
      </c>
      <c r="X6" s="2" t="n">
        <v>0</v>
      </c>
    </row>
    <row r="7">
      <c r="A7" s="2" t="inlineStr">
        <is>
          <t>B09</t>
        </is>
      </c>
      <c r="B7" s="2" t="inlineStr">
        <is>
          <t>debugZone3</t>
        </is>
      </c>
      <c r="C7" s="2" t="n">
        <v>0</v>
      </c>
      <c r="D7" s="2" t="inlineStr">
        <is>
          <t>OccSch_Unoccupied</t>
        </is>
      </c>
      <c r="E7" s="2" t="n">
        <v>6</v>
      </c>
      <c r="F7" s="2" t="inlineStr">
        <is>
          <t>LghSch_Costant</t>
        </is>
      </c>
      <c r="G7" s="2" t="n">
        <v>0</v>
      </c>
      <c r="H7" s="2" t="n">
        <v>2</v>
      </c>
      <c r="I7" s="2" t="inlineStr">
        <is>
          <t>EqpSch_Costant</t>
        </is>
      </c>
      <c r="J7" s="2" t="n">
        <v>0</v>
      </c>
      <c r="K7" s="2">
        <f>IF(J7="","",J7*1000)</f>
        <v/>
      </c>
      <c r="L7" s="2" t="n">
        <v>0</v>
      </c>
      <c r="M7" s="2">
        <f>IF(L7="","",L7*1000)</f>
        <v/>
      </c>
      <c r="N7" s="2" t="inlineStr">
        <is>
          <t>Maximum</t>
        </is>
      </c>
      <c r="O7" s="2" t="inlineStr">
        <is>
          <t>AlwaysOff</t>
        </is>
      </c>
      <c r="P7" s="2" t="inlineStr">
        <is>
          <t>AlwaysOff</t>
        </is>
      </c>
      <c r="Q7" s="2" t="inlineStr">
        <is>
          <t>AlwaysOff</t>
        </is>
      </c>
      <c r="R7" s="2" t="n">
        <v>70</v>
      </c>
      <c r="S7" s="2" t="n">
        <v>40</v>
      </c>
      <c r="T7" s="2" t="inlineStr">
        <is>
          <t>Generic room Heating</t>
        </is>
      </c>
      <c r="U7" s="2" t="inlineStr">
        <is>
          <t>Generic room Cooling</t>
        </is>
      </c>
      <c r="V7" s="2" t="n">
        <v>0.0001</v>
      </c>
      <c r="W7" s="2" t="n">
        <v>6</v>
      </c>
      <c r="X7" s="2" t="n">
        <v>0</v>
      </c>
    </row>
    <row r="8">
      <c r="A8" s="2" t="inlineStr">
        <is>
          <t>B09</t>
        </is>
      </c>
      <c r="B8" s="2" t="inlineStr">
        <is>
          <t>debugZone4</t>
        </is>
      </c>
      <c r="C8" s="2" t="n">
        <v>0.3</v>
      </c>
      <c r="D8" s="2" t="inlineStr">
        <is>
          <t>OccSch_Unoccupied</t>
        </is>
      </c>
      <c r="E8" s="2" t="n">
        <v>6</v>
      </c>
      <c r="F8" s="2" t="inlineStr">
        <is>
          <t>LghSch_Costant</t>
        </is>
      </c>
      <c r="G8" s="2" t="n">
        <v>0</v>
      </c>
      <c r="H8" s="2" t="n">
        <v>2</v>
      </c>
      <c r="I8" s="2" t="inlineStr">
        <is>
          <t>EqpSch_Costant</t>
        </is>
      </c>
      <c r="J8" s="2" t="n">
        <v>0.007</v>
      </c>
      <c r="K8" s="2">
        <f>IF(J8="","",J8*1000)</f>
        <v/>
      </c>
      <c r="L8" s="2" t="n">
        <v>0.00166298</v>
      </c>
      <c r="M8" s="2">
        <f>IF(L8="","",L8*1000)</f>
        <v/>
      </c>
      <c r="N8" s="2" t="inlineStr">
        <is>
          <t>Maximum</t>
        </is>
      </c>
      <c r="O8" s="2" t="inlineStr">
        <is>
          <t>VntSch_AHU</t>
        </is>
      </c>
      <c r="P8" s="2" t="inlineStr">
        <is>
          <t>HtnSch_AHU</t>
        </is>
      </c>
      <c r="Q8" s="2" t="inlineStr">
        <is>
          <t>ClnSch_AHU</t>
        </is>
      </c>
      <c r="R8" s="2" t="n">
        <v>70</v>
      </c>
      <c r="S8" s="2" t="n">
        <v>40</v>
      </c>
      <c r="T8" s="2" t="inlineStr">
        <is>
          <t>Generic room Heating</t>
        </is>
      </c>
      <c r="U8" s="2" t="inlineStr">
        <is>
          <t>Generic room Cooling</t>
        </is>
      </c>
      <c r="V8" s="2" t="n">
        <v>0.0001</v>
      </c>
      <c r="W8" s="2" t="n">
        <v>6</v>
      </c>
      <c r="X8" s="2" t="n">
        <v>0</v>
      </c>
    </row>
    <row r="9">
      <c r="A9" s="2" t="inlineStr">
        <is>
          <t>B09</t>
        </is>
      </c>
      <c r="B9" s="2" t="inlineStr">
        <is>
          <t>debugZone5</t>
        </is>
      </c>
      <c r="C9" s="2" t="n">
        <v>0.3</v>
      </c>
      <c r="D9" s="2" t="inlineStr">
        <is>
          <t>OccSch_Unoccupied</t>
        </is>
      </c>
      <c r="E9" s="2" t="n">
        <v>6</v>
      </c>
      <c r="F9" s="2" t="inlineStr">
        <is>
          <t>LghSch_Costant</t>
        </is>
      </c>
      <c r="G9" s="2" t="n">
        <v>0</v>
      </c>
      <c r="H9" s="2" t="n">
        <v>2</v>
      </c>
      <c r="I9" s="2" t="inlineStr">
        <is>
          <t>EqpSch_Costant</t>
        </is>
      </c>
      <c r="J9" s="2" t="n">
        <v>0.007</v>
      </c>
      <c r="K9" s="2">
        <f>IF(J9="","",J9*1000)</f>
        <v/>
      </c>
      <c r="L9" s="2" t="n">
        <v>0.00148361</v>
      </c>
      <c r="M9" s="2">
        <f>IF(L9="","",L9*1000)</f>
        <v/>
      </c>
      <c r="N9" s="2" t="inlineStr">
        <is>
          <t>Maximum</t>
        </is>
      </c>
      <c r="O9" s="2" t="inlineStr">
        <is>
          <t>VntSch_AHU</t>
        </is>
      </c>
      <c r="P9" s="2" t="inlineStr">
        <is>
          <t>HtnSch_AHU</t>
        </is>
      </c>
      <c r="Q9" s="2" t="inlineStr">
        <is>
          <t>ClnSch_AHU</t>
        </is>
      </c>
      <c r="R9" s="2" t="n">
        <v>70</v>
      </c>
      <c r="S9" s="2" t="n">
        <v>40</v>
      </c>
      <c r="T9" s="2" t="inlineStr">
        <is>
          <t>Generic room Heating</t>
        </is>
      </c>
      <c r="U9" s="2" t="inlineStr">
        <is>
          <t>Generic room Cooling</t>
        </is>
      </c>
      <c r="V9" s="2" t="n">
        <v>0.0001</v>
      </c>
      <c r="W9" s="2" t="n">
        <v>6</v>
      </c>
      <c r="X9" s="2" t="n">
        <v>0</v>
      </c>
    </row>
    <row r="10">
      <c r="A10" s="2" t="inlineStr">
        <is>
          <t>B09</t>
        </is>
      </c>
      <c r="B10" s="2" t="inlineStr">
        <is>
          <t>debugZone6</t>
        </is>
      </c>
      <c r="C10" s="2" t="n">
        <v>0.3</v>
      </c>
      <c r="D10" s="2" t="inlineStr">
        <is>
          <t>OccSch_Unoccupied</t>
        </is>
      </c>
      <c r="E10" s="2" t="n">
        <v>6</v>
      </c>
      <c r="F10" s="2" t="inlineStr">
        <is>
          <t>LghSch_Costant</t>
        </is>
      </c>
      <c r="G10" s="2" t="n">
        <v>0</v>
      </c>
      <c r="H10" s="2" t="n">
        <v>2</v>
      </c>
      <c r="I10" s="2" t="inlineStr">
        <is>
          <t>EqpSch_Costant</t>
        </is>
      </c>
      <c r="J10" s="2" t="n">
        <v>0.007</v>
      </c>
      <c r="K10" s="2">
        <f>IF(J10="","",J10*1000)</f>
        <v/>
      </c>
      <c r="L10" s="2" t="n">
        <v>0.00186004</v>
      </c>
      <c r="M10" s="2">
        <f>IF(L10="","",L10*1000)</f>
        <v/>
      </c>
      <c r="N10" s="2" t="inlineStr">
        <is>
          <t>Maximum</t>
        </is>
      </c>
      <c r="O10" s="2" t="inlineStr">
        <is>
          <t>VntSch_AHU</t>
        </is>
      </c>
      <c r="P10" s="2" t="inlineStr">
        <is>
          <t>HtnSch_AHU</t>
        </is>
      </c>
      <c r="Q10" s="2" t="inlineStr">
        <is>
          <t>ClnSch_AHU</t>
        </is>
      </c>
      <c r="R10" s="2" t="n">
        <v>70</v>
      </c>
      <c r="S10" s="2" t="n">
        <v>40</v>
      </c>
      <c r="T10" s="2" t="inlineStr">
        <is>
          <t>Generic room Heating</t>
        </is>
      </c>
      <c r="U10" s="2" t="inlineStr">
        <is>
          <t>Generic room Cooling</t>
        </is>
      </c>
      <c r="V10" s="2" t="n">
        <v>0.0001</v>
      </c>
      <c r="W10" s="2" t="n">
        <v>8</v>
      </c>
      <c r="X10" s="2" t="n">
        <v>0</v>
      </c>
    </row>
    <row r="11">
      <c r="A11" s="2" t="inlineStr">
        <is>
          <t>B09</t>
        </is>
      </c>
      <c r="B11" s="2" t="inlineStr">
        <is>
          <t>debugZone7</t>
        </is>
      </c>
      <c r="C11" s="2" t="n">
        <v>0.3</v>
      </c>
      <c r="D11" s="2" t="inlineStr">
        <is>
          <t>OccSch_Unoccupied</t>
        </is>
      </c>
      <c r="E11" s="2" t="n">
        <v>6</v>
      </c>
      <c r="F11" s="2" t="inlineStr">
        <is>
          <t>LghSch_Costant</t>
        </is>
      </c>
      <c r="G11" s="2" t="n">
        <v>0</v>
      </c>
      <c r="H11" s="2" t="n">
        <v>2</v>
      </c>
      <c r="I11" s="2" t="inlineStr">
        <is>
          <t>EqpSch_Costant</t>
        </is>
      </c>
      <c r="J11" s="2" t="n">
        <v>0.007</v>
      </c>
      <c r="K11" s="2">
        <f>IF(J11="","",J11*1000)</f>
        <v/>
      </c>
      <c r="L11" s="2" t="n">
        <v>0.00180586</v>
      </c>
      <c r="M11" s="2">
        <f>IF(L11="","",L11*1000)</f>
        <v/>
      </c>
      <c r="N11" s="2" t="inlineStr">
        <is>
          <t>Maximum</t>
        </is>
      </c>
      <c r="O11" s="2" t="inlineStr">
        <is>
          <t>VntSch_AHU</t>
        </is>
      </c>
      <c r="P11" s="2" t="inlineStr">
        <is>
          <t>HtnSch_AHU</t>
        </is>
      </c>
      <c r="Q11" s="2" t="inlineStr">
        <is>
          <t>ClnSch_AHU</t>
        </is>
      </c>
      <c r="R11" s="2" t="n">
        <v>70</v>
      </c>
      <c r="S11" s="2" t="n">
        <v>40</v>
      </c>
      <c r="T11" s="2" t="inlineStr">
        <is>
          <t>Generic room Heating</t>
        </is>
      </c>
      <c r="U11" s="2" t="inlineStr">
        <is>
          <t>Generic room Cooling</t>
        </is>
      </c>
      <c r="V11" s="2" t="n">
        <v>0.0001</v>
      </c>
      <c r="W11" s="2" t="n">
        <v>9</v>
      </c>
      <c r="X11" s="2" t="n">
        <v>0</v>
      </c>
    </row>
    <row r="12">
      <c r="A12" s="2" t="inlineStr">
        <is>
          <t>B09</t>
        </is>
      </c>
      <c r="B12" s="2" t="inlineStr">
        <is>
          <t>debugZone8</t>
        </is>
      </c>
      <c r="C12" s="2" t="n">
        <v>0.3</v>
      </c>
      <c r="D12" s="2" t="inlineStr">
        <is>
          <t>OccSch_Unoccupied</t>
        </is>
      </c>
      <c r="E12" s="2" t="n">
        <v>6</v>
      </c>
      <c r="F12" s="2" t="inlineStr">
        <is>
          <t>LghSch_Costant</t>
        </is>
      </c>
      <c r="G12" s="2" t="n">
        <v>0</v>
      </c>
      <c r="H12" s="2" t="n">
        <v>2</v>
      </c>
      <c r="I12" s="2" t="inlineStr">
        <is>
          <t>EqpSch_Costant</t>
        </is>
      </c>
      <c r="J12" s="2" t="n">
        <v>0.007</v>
      </c>
      <c r="K12" s="2">
        <f>IF(J12="","",J12*1000)</f>
        <v/>
      </c>
      <c r="L12" s="2" t="n">
        <v>0.00177924</v>
      </c>
      <c r="M12" s="2">
        <f>IF(L12="","",L12*1000)</f>
        <v/>
      </c>
      <c r="N12" s="2" t="inlineStr">
        <is>
          <t>Maximum</t>
        </is>
      </c>
      <c r="O12" s="2" t="inlineStr">
        <is>
          <t>VntSch_AHU</t>
        </is>
      </c>
      <c r="P12" s="2" t="inlineStr">
        <is>
          <t>HtnSch_AHU</t>
        </is>
      </c>
      <c r="Q12" s="2" t="inlineStr">
        <is>
          <t>ClnSch_AHU</t>
        </is>
      </c>
      <c r="R12" s="2" t="n">
        <v>70</v>
      </c>
      <c r="S12" s="2" t="n">
        <v>40</v>
      </c>
      <c r="T12" s="2" t="inlineStr">
        <is>
          <t>Generic room Heating</t>
        </is>
      </c>
      <c r="U12" s="2" t="inlineStr">
        <is>
          <t>Generic room Cooling</t>
        </is>
      </c>
      <c r="V12" s="2" t="n">
        <v>0.0001</v>
      </c>
      <c r="W12" s="2" t="n">
        <v>6</v>
      </c>
      <c r="X12" s="2" t="n">
        <v>0</v>
      </c>
    </row>
    <row r="13">
      <c r="A13" s="2" t="inlineStr">
        <is>
          <t>B09</t>
        </is>
      </c>
      <c r="B13" s="2" t="inlineStr">
        <is>
          <t>debugZone9</t>
        </is>
      </c>
      <c r="C13" s="2" t="n">
        <v>0.3</v>
      </c>
      <c r="D13" s="2" t="inlineStr">
        <is>
          <t>OccSch_Unoccupied</t>
        </is>
      </c>
      <c r="E13" s="2" t="n">
        <v>6</v>
      </c>
      <c r="F13" s="2" t="inlineStr">
        <is>
          <t>LghSch_Costant</t>
        </is>
      </c>
      <c r="G13" s="2" t="n">
        <v>0</v>
      </c>
      <c r="H13" s="2" t="n">
        <v>2</v>
      </c>
      <c r="I13" s="2" t="inlineStr">
        <is>
          <t>EqpSch_Costant</t>
        </is>
      </c>
      <c r="J13" s="2" t="n">
        <v>0.007</v>
      </c>
      <c r="K13" s="2">
        <f>IF(J13="","",J13*1000)</f>
        <v/>
      </c>
      <c r="L13" s="2" t="n">
        <v>0.00175182</v>
      </c>
      <c r="M13" s="2">
        <f>IF(L13="","",L13*1000)</f>
        <v/>
      </c>
      <c r="N13" s="2" t="inlineStr">
        <is>
          <t>Maximum</t>
        </is>
      </c>
      <c r="O13" s="2" t="inlineStr">
        <is>
          <t>VntSch_AHU</t>
        </is>
      </c>
      <c r="P13" s="2" t="inlineStr">
        <is>
          <t>HtnSch_AHU</t>
        </is>
      </c>
      <c r="Q13" s="2" t="inlineStr">
        <is>
          <t>ClnSch_AHU</t>
        </is>
      </c>
      <c r="R13" s="2" t="n">
        <v>70</v>
      </c>
      <c r="S13" s="2" t="n">
        <v>40</v>
      </c>
      <c r="T13" s="2" t="inlineStr">
        <is>
          <t>Generic room Heating</t>
        </is>
      </c>
      <c r="U13" s="2" t="inlineStr">
        <is>
          <t>Generic room Cooling</t>
        </is>
      </c>
      <c r="V13" s="2" t="n">
        <v>0.0001</v>
      </c>
      <c r="W13" s="2" t="n">
        <v>6</v>
      </c>
      <c r="X13" s="2" t="n">
        <v>0</v>
      </c>
    </row>
    <row r="14">
      <c r="A14" s="2" t="inlineStr">
        <is>
          <t>B09</t>
        </is>
      </c>
      <c r="B14" s="2" t="inlineStr">
        <is>
          <t>zone00</t>
        </is>
      </c>
      <c r="C14" s="2" t="n">
        <v>0</v>
      </c>
      <c r="D14" s="2" t="inlineStr">
        <is>
          <t>OccSch_Unoccupied</t>
        </is>
      </c>
      <c r="E14" s="2" t="n">
        <v>0</v>
      </c>
      <c r="F14" s="2" t="inlineStr">
        <is>
          <t>LghSch_Unoccupied</t>
        </is>
      </c>
      <c r="G14" s="2" t="n">
        <v>0</v>
      </c>
      <c r="H14" s="2" t="n">
        <v>0</v>
      </c>
      <c r="I14" s="2" t="inlineStr">
        <is>
          <t>EqpSch_Unoccupied</t>
        </is>
      </c>
      <c r="J14" s="2" t="n">
        <v>0</v>
      </c>
      <c r="K14" s="2">
        <f>IF(J14="","",J14*1000)</f>
        <v/>
      </c>
      <c r="L14" s="2" t="n">
        <v>0</v>
      </c>
      <c r="M14" s="2">
        <f>IF(L14="","",L14*1000)</f>
        <v/>
      </c>
      <c r="N14" s="2" t="inlineStr">
        <is>
          <t>Maximum</t>
        </is>
      </c>
      <c r="O14" s="2" t="inlineStr">
        <is>
          <t>AlwaysOff</t>
        </is>
      </c>
      <c r="P14" s="2" t="inlineStr">
        <is>
          <t>AlwaysOff</t>
        </is>
      </c>
      <c r="Q14" s="2" t="inlineStr">
        <is>
          <t>AlwaysOff</t>
        </is>
      </c>
      <c r="R14" s="2" t="n">
        <v>100</v>
      </c>
      <c r="S14" s="2" t="n">
        <v>0</v>
      </c>
      <c r="T14" s="2" t="inlineStr">
        <is>
          <t>Generic room Heating</t>
        </is>
      </c>
      <c r="U14" s="2" t="inlineStr">
        <is>
          <t>Generic room Cooling</t>
        </is>
      </c>
      <c r="V14" s="2" t="n">
        <v>0.0001</v>
      </c>
      <c r="W14" s="2" t="n">
        <v>55</v>
      </c>
      <c r="X14" s="2" t="n">
        <v>0</v>
      </c>
    </row>
    <row r="15">
      <c r="A15" s="2" t="inlineStr">
        <is>
          <t>B09</t>
        </is>
      </c>
      <c r="B15" s="2" t="inlineStr">
        <is>
          <t>zone01</t>
        </is>
      </c>
      <c r="C15" s="2" t="n">
        <v>0</v>
      </c>
      <c r="D15" s="2" t="inlineStr">
        <is>
          <t>OccSch_Unoccupied</t>
        </is>
      </c>
      <c r="E15" s="2" t="n">
        <v>6</v>
      </c>
      <c r="F15" s="2" t="inlineStr">
        <is>
          <t>LghSch_Costant</t>
        </is>
      </c>
      <c r="G15" s="2" t="n">
        <v>0</v>
      </c>
      <c r="H15" s="2" t="n">
        <v>2</v>
      </c>
      <c r="I15" s="2" t="inlineStr">
        <is>
          <t>EqpSch_Costant</t>
        </is>
      </c>
      <c r="J15" s="2" t="n">
        <v>0</v>
      </c>
      <c r="K15" s="2">
        <f>IF(J15="","",J15*1000)</f>
        <v/>
      </c>
      <c r="L15" s="2" t="n">
        <v>0</v>
      </c>
      <c r="M15" s="2">
        <f>IF(L15="","",L15*1000)</f>
        <v/>
      </c>
      <c r="N15" s="2" t="inlineStr">
        <is>
          <t>Maximum</t>
        </is>
      </c>
      <c r="O15" s="2" t="inlineStr">
        <is>
          <t>AlwaysOff</t>
        </is>
      </c>
      <c r="P15" s="2" t="inlineStr">
        <is>
          <t>AlwaysOff</t>
        </is>
      </c>
      <c r="Q15" s="2" t="inlineStr">
        <is>
          <t>AlwaysOff</t>
        </is>
      </c>
      <c r="R15" s="2" t="n">
        <v>70</v>
      </c>
      <c r="S15" s="2" t="n">
        <v>40</v>
      </c>
      <c r="T15" s="2" t="inlineStr">
        <is>
          <t>Generic room Heating</t>
        </is>
      </c>
      <c r="U15" s="2" t="inlineStr">
        <is>
          <t>Generic room Cooling</t>
        </is>
      </c>
      <c r="V15" s="2" t="n">
        <v>0.0001</v>
      </c>
      <c r="W15" s="2" t="n">
        <v>18</v>
      </c>
      <c r="X15" s="2" t="n">
        <v>0</v>
      </c>
    </row>
    <row r="16">
      <c r="A16" s="2" t="inlineStr">
        <is>
          <t>B09</t>
        </is>
      </c>
      <c r="B16" s="2" t="inlineStr">
        <is>
          <t>zone02</t>
        </is>
      </c>
      <c r="C16" s="2" t="n">
        <v>0</v>
      </c>
      <c r="D16" s="2" t="inlineStr">
        <is>
          <t>OccSch_Unoccupied</t>
        </is>
      </c>
      <c r="E16" s="2" t="n">
        <v>6</v>
      </c>
      <c r="F16" s="2" t="inlineStr">
        <is>
          <t>LghSch_Costant</t>
        </is>
      </c>
      <c r="G16" s="2" t="n">
        <v>0</v>
      </c>
      <c r="H16" s="2" t="n">
        <v>2</v>
      </c>
      <c r="I16" s="2" t="inlineStr">
        <is>
          <t>EqpSch_Costant</t>
        </is>
      </c>
      <c r="J16" s="2" t="n">
        <v>0</v>
      </c>
      <c r="K16" s="2">
        <f>IF(J16="","",J16*1000)</f>
        <v/>
      </c>
      <c r="L16" s="2" t="n">
        <v>0.008</v>
      </c>
      <c r="M16" s="2">
        <f>IF(L16="","",L16*1000)</f>
        <v/>
      </c>
      <c r="N16" s="2" t="inlineStr">
        <is>
          <t>Maximum</t>
        </is>
      </c>
      <c r="O16" s="2" t="inlineStr">
        <is>
          <t>VntSch_AHU</t>
        </is>
      </c>
      <c r="P16" s="2" t="inlineStr">
        <is>
          <t>HtnSch_AHU</t>
        </is>
      </c>
      <c r="Q16" s="2" t="inlineStr">
        <is>
          <t>ClnSch_AHU</t>
        </is>
      </c>
      <c r="R16" s="2" t="n">
        <v>70</v>
      </c>
      <c r="S16" s="2" t="n">
        <v>40</v>
      </c>
      <c r="T16" s="2" t="inlineStr">
        <is>
          <t>Generic room Heating</t>
        </is>
      </c>
      <c r="U16" s="2" t="inlineStr">
        <is>
          <t>Generic room Cooling</t>
        </is>
      </c>
      <c r="V16" s="2" t="n">
        <v>0.0001</v>
      </c>
      <c r="W16" s="2" t="n">
        <v>52</v>
      </c>
      <c r="X16" s="2" t="n">
        <v>0</v>
      </c>
    </row>
    <row r="17">
      <c r="A17" s="2" t="inlineStr">
        <is>
          <t>B09</t>
        </is>
      </c>
      <c r="B17" s="2" t="inlineStr">
        <is>
          <t>zone03</t>
        </is>
      </c>
      <c r="C17" s="2" t="n">
        <v>0</v>
      </c>
      <c r="D17" s="2" t="inlineStr">
        <is>
          <t>OccSch_Unoccupied</t>
        </is>
      </c>
      <c r="E17" s="2" t="n">
        <v>6</v>
      </c>
      <c r="F17" s="2" t="inlineStr">
        <is>
          <t>AlwaysOff</t>
        </is>
      </c>
      <c r="G17" s="2" t="n">
        <v>0</v>
      </c>
      <c r="H17" s="2" t="n">
        <v>0</v>
      </c>
      <c r="I17" s="2" t="inlineStr">
        <is>
          <t>AlwaysOff</t>
        </is>
      </c>
      <c r="J17" s="2" t="n">
        <v>0</v>
      </c>
      <c r="K17" s="2">
        <f>IF(J17="","",J17*1000)</f>
        <v/>
      </c>
      <c r="L17" s="2" t="n">
        <v>0.001</v>
      </c>
      <c r="M17" s="2">
        <f>IF(L17="","",L17*1000)</f>
        <v/>
      </c>
      <c r="N17" s="2" t="inlineStr">
        <is>
          <t>Maximum</t>
        </is>
      </c>
      <c r="O17" s="2" t="inlineStr">
        <is>
          <t>AlwaysOff</t>
        </is>
      </c>
      <c r="P17" s="2" t="inlineStr">
        <is>
          <t>AlwaysOff</t>
        </is>
      </c>
      <c r="Q17" s="2" t="inlineStr">
        <is>
          <t>AlwaysOff</t>
        </is>
      </c>
      <c r="R17" s="2" t="n">
        <v>70</v>
      </c>
      <c r="S17" s="2" t="n">
        <v>40</v>
      </c>
      <c r="T17" s="2" t="inlineStr">
        <is>
          <t>Generic room Heating</t>
        </is>
      </c>
      <c r="U17" s="2" t="inlineStr">
        <is>
          <t>Generic room Cooling</t>
        </is>
      </c>
      <c r="V17" s="2" t="n">
        <v>0.0001</v>
      </c>
      <c r="W17" s="2" t="n">
        <v>6</v>
      </c>
      <c r="X17" s="2" t="n">
        <v>0</v>
      </c>
    </row>
    <row r="18">
      <c r="A18" s="2" t="inlineStr">
        <is>
          <t>B09</t>
        </is>
      </c>
      <c r="B18" s="2" t="inlineStr">
        <is>
          <t>zone04</t>
        </is>
      </c>
      <c r="C18" s="2" t="n">
        <v>0</v>
      </c>
      <c r="D18" s="2" t="inlineStr">
        <is>
          <t>OccSch_Unoccupied</t>
        </is>
      </c>
      <c r="E18" s="2" t="n">
        <v>6</v>
      </c>
      <c r="F18" s="2" t="inlineStr">
        <is>
          <t>AlwaysOff</t>
        </is>
      </c>
      <c r="G18" s="2" t="n">
        <v>0</v>
      </c>
      <c r="H18" s="2" t="n">
        <v>0</v>
      </c>
      <c r="I18" s="2" t="inlineStr">
        <is>
          <t>AlwaysOff</t>
        </is>
      </c>
      <c r="J18" s="2" t="n">
        <v>0</v>
      </c>
      <c r="K18" s="2">
        <f>IF(J18="","",J18*1000)</f>
        <v/>
      </c>
      <c r="L18" s="2" t="n">
        <v>0.001</v>
      </c>
      <c r="M18" s="2">
        <f>IF(L18="","",L18*1000)</f>
        <v/>
      </c>
      <c r="N18" s="2" t="inlineStr">
        <is>
          <t>Maximum</t>
        </is>
      </c>
      <c r="O18" s="2" t="inlineStr">
        <is>
          <t>AlwaysOff</t>
        </is>
      </c>
      <c r="P18" s="2" t="inlineStr">
        <is>
          <t>AlwaysOff</t>
        </is>
      </c>
      <c r="Q18" s="2" t="inlineStr">
        <is>
          <t>AlwaysOff</t>
        </is>
      </c>
      <c r="R18" s="2" t="n">
        <v>70</v>
      </c>
      <c r="S18" s="2" t="n">
        <v>40</v>
      </c>
      <c r="T18" s="2" t="inlineStr">
        <is>
          <t>Generic room Heating</t>
        </is>
      </c>
      <c r="U18" s="2" t="inlineStr">
        <is>
          <t>Generic room Cooling</t>
        </is>
      </c>
      <c r="V18" s="2" t="n">
        <v>0.0001</v>
      </c>
      <c r="W18" s="2" t="n">
        <v>187</v>
      </c>
      <c r="X18" s="2" t="n">
        <v>2</v>
      </c>
    </row>
    <row r="19">
      <c r="A19" s="2" t="inlineStr">
        <is>
          <t>B09</t>
        </is>
      </c>
      <c r="B19" s="2" t="inlineStr">
        <is>
          <t>zone05</t>
        </is>
      </c>
      <c r="C19" s="2" t="n">
        <v>0</v>
      </c>
      <c r="D19" s="2" t="inlineStr">
        <is>
          <t>OccSch_Unoccupied</t>
        </is>
      </c>
      <c r="E19" s="2" t="n">
        <v>6</v>
      </c>
      <c r="F19" s="2" t="inlineStr">
        <is>
          <t>LghSch_Costant</t>
        </is>
      </c>
      <c r="G19" s="2" t="n">
        <v>0</v>
      </c>
      <c r="H19" s="2" t="n">
        <v>2</v>
      </c>
      <c r="I19" s="2" t="inlineStr">
        <is>
          <t>EqpSch_Costant</t>
        </is>
      </c>
      <c r="J19" s="2" t="n">
        <v>0</v>
      </c>
      <c r="K19" s="2">
        <f>IF(J19="","",J19*1000)</f>
        <v/>
      </c>
      <c r="L19" s="2" t="n">
        <v>0</v>
      </c>
      <c r="M19" s="2">
        <f>IF(L19="","",L19*1000)</f>
        <v/>
      </c>
      <c r="N19" s="2" t="inlineStr">
        <is>
          <t>Maximum</t>
        </is>
      </c>
      <c r="O19" s="2" t="inlineStr">
        <is>
          <t>VntSch_AHU</t>
        </is>
      </c>
      <c r="P19" s="2" t="inlineStr">
        <is>
          <t>HtnSch_AHU</t>
        </is>
      </c>
      <c r="Q19" s="2" t="inlineStr">
        <is>
          <t>ClnSch_AHU</t>
        </is>
      </c>
      <c r="R19" s="2" t="n">
        <v>70</v>
      </c>
      <c r="S19" s="2" t="n">
        <v>40</v>
      </c>
      <c r="T19" s="2" t="inlineStr">
        <is>
          <t>Generic room Heating</t>
        </is>
      </c>
      <c r="U19" s="2" t="inlineStr">
        <is>
          <t>Generic room Cooling</t>
        </is>
      </c>
      <c r="V19" s="2" t="n">
        <v>0.0001</v>
      </c>
      <c r="W19" s="2" t="n">
        <v>17</v>
      </c>
      <c r="X19" s="2" t="n">
        <v>0</v>
      </c>
    </row>
    <row r="20">
      <c r="A20" s="2" t="inlineStr">
        <is>
          <t>B09</t>
        </is>
      </c>
      <c r="B20" s="2" t="inlineStr">
        <is>
          <t>zone06</t>
        </is>
      </c>
      <c r="C20" s="2" t="n">
        <v>0</v>
      </c>
      <c r="D20" s="2" t="inlineStr">
        <is>
          <t>OccSch_Unoccupied</t>
        </is>
      </c>
      <c r="E20" s="2" t="n">
        <v>6</v>
      </c>
      <c r="F20" s="2" t="inlineStr">
        <is>
          <t>AlwaysOff</t>
        </is>
      </c>
      <c r="G20" s="2" t="n">
        <v>0</v>
      </c>
      <c r="H20" s="2" t="n">
        <v>0</v>
      </c>
      <c r="I20" s="2" t="inlineStr">
        <is>
          <t>AlwaysOff</t>
        </is>
      </c>
      <c r="J20" s="2" t="n">
        <v>0</v>
      </c>
      <c r="K20" s="2">
        <f>IF(J20="","",J20*1000)</f>
        <v/>
      </c>
      <c r="L20" s="2" t="n">
        <v>0</v>
      </c>
      <c r="M20" s="2">
        <f>IF(L20="","",L20*1000)</f>
        <v/>
      </c>
      <c r="N20" s="2" t="inlineStr">
        <is>
          <t>Maximum</t>
        </is>
      </c>
      <c r="O20" s="2" t="inlineStr">
        <is>
          <t>VntSch_AHU</t>
        </is>
      </c>
      <c r="P20" s="2" t="inlineStr">
        <is>
          <t>HtnSch_AHU</t>
        </is>
      </c>
      <c r="Q20" s="2" t="inlineStr">
        <is>
          <t>ClnSch_AHU</t>
        </is>
      </c>
      <c r="R20" s="2" t="n">
        <v>70</v>
      </c>
      <c r="S20" s="2" t="n">
        <v>40</v>
      </c>
      <c r="T20" s="2" t="inlineStr">
        <is>
          <t>Generic room Heating</t>
        </is>
      </c>
      <c r="U20" s="2" t="inlineStr">
        <is>
          <t>Generic room Cooling</t>
        </is>
      </c>
      <c r="V20" s="2" t="n">
        <v>0.0001</v>
      </c>
      <c r="W20" s="2" t="n">
        <v>40</v>
      </c>
      <c r="X20" s="2" t="n">
        <v>0</v>
      </c>
    </row>
    <row r="21">
      <c r="A21" s="2" t="inlineStr">
        <is>
          <t>B09</t>
        </is>
      </c>
      <c r="B21" s="2" t="inlineStr">
        <is>
          <t>zone07</t>
        </is>
      </c>
      <c r="C21" s="2" t="n">
        <v>0</v>
      </c>
      <c r="D21" s="2" t="inlineStr">
        <is>
          <t>OccSch_Unoccupied</t>
        </is>
      </c>
      <c r="E21" s="2" t="n">
        <v>6</v>
      </c>
      <c r="F21" s="2" t="inlineStr">
        <is>
          <t>AlwaysOff</t>
        </is>
      </c>
      <c r="G21" s="2" t="n">
        <v>0</v>
      </c>
      <c r="H21" s="2" t="n">
        <v>2</v>
      </c>
      <c r="I21" s="2" t="inlineStr">
        <is>
          <t>AlwaysOff</t>
        </is>
      </c>
      <c r="J21" s="2" t="n">
        <v>0</v>
      </c>
      <c r="K21" s="2">
        <f>IF(J21="","",J21*1000)</f>
        <v/>
      </c>
      <c r="L21" s="2" t="n">
        <v>0</v>
      </c>
      <c r="M21" s="2">
        <f>IF(L21="","",L21*1000)</f>
        <v/>
      </c>
      <c r="N21" s="2" t="inlineStr">
        <is>
          <t>Maximum</t>
        </is>
      </c>
      <c r="O21" s="2" t="inlineStr">
        <is>
          <t>AlwaysOff</t>
        </is>
      </c>
      <c r="P21" s="2" t="inlineStr">
        <is>
          <t>AlwaysOff</t>
        </is>
      </c>
      <c r="Q21" s="2" t="inlineStr">
        <is>
          <t>AlwaysOff</t>
        </is>
      </c>
      <c r="R21" s="2" t="n">
        <v>70</v>
      </c>
      <c r="S21" s="2" t="n">
        <v>40</v>
      </c>
      <c r="T21" s="2" t="inlineStr">
        <is>
          <t>Generic room Heating</t>
        </is>
      </c>
      <c r="U21" s="2" t="inlineStr">
        <is>
          <t>Generic room Cooling</t>
        </is>
      </c>
      <c r="V21" s="2" t="n">
        <v>0.0001</v>
      </c>
      <c r="W21" s="2" t="n">
        <v>185</v>
      </c>
      <c r="X21" s="2" t="n">
        <v>10</v>
      </c>
    </row>
    <row r="22">
      <c r="A22" s="2" t="inlineStr">
        <is>
          <t>B09</t>
        </is>
      </c>
      <c r="B22" s="2" t="inlineStr">
        <is>
          <t>zone08</t>
        </is>
      </c>
      <c r="C22" s="2" t="n">
        <v>0</v>
      </c>
      <c r="D22" s="2" t="inlineStr">
        <is>
          <t>OccSch_Unoccupied</t>
        </is>
      </c>
      <c r="E22" s="2" t="n">
        <v>6</v>
      </c>
      <c r="F22" s="2" t="inlineStr">
        <is>
          <t>AlwaysOff</t>
        </is>
      </c>
      <c r="G22" s="2" t="n">
        <v>0</v>
      </c>
      <c r="H22" s="2" t="n">
        <v>2</v>
      </c>
      <c r="I22" s="2" t="inlineStr">
        <is>
          <t>AlwaysOff</t>
        </is>
      </c>
      <c r="J22" s="2" t="n">
        <v>0</v>
      </c>
      <c r="K22" s="2">
        <f>IF(J22="","",J22*1000)</f>
        <v/>
      </c>
      <c r="L22" s="2" t="n">
        <v>0</v>
      </c>
      <c r="M22" s="2">
        <f>IF(L22="","",L22*1000)</f>
        <v/>
      </c>
      <c r="N22" s="2" t="inlineStr">
        <is>
          <t>Maximum</t>
        </is>
      </c>
      <c r="O22" s="2" t="inlineStr">
        <is>
          <t>VntSch_AHU</t>
        </is>
      </c>
      <c r="P22" s="2" t="inlineStr">
        <is>
          <t>HtnSch_AHU</t>
        </is>
      </c>
      <c r="Q22" s="2" t="inlineStr">
        <is>
          <t>ClnSch_AHU</t>
        </is>
      </c>
      <c r="R22" s="2" t="n">
        <v>70</v>
      </c>
      <c r="S22" s="2" t="n">
        <v>40</v>
      </c>
      <c r="T22" s="2" t="inlineStr">
        <is>
          <t>Generic room Heating</t>
        </is>
      </c>
      <c r="U22" s="2" t="inlineStr">
        <is>
          <t>Generic room Cooling</t>
        </is>
      </c>
      <c r="V22" s="2" t="n">
        <v>0.0001</v>
      </c>
      <c r="W22" s="2" t="n">
        <v>40</v>
      </c>
      <c r="X22" s="2" t="n">
        <v>0</v>
      </c>
    </row>
    <row r="23">
      <c r="A23" s="2" t="inlineStr">
        <is>
          <t>B09</t>
        </is>
      </c>
      <c r="B23" s="2" t="inlineStr">
        <is>
          <t>zone09</t>
        </is>
      </c>
      <c r="C23" s="2" t="n">
        <v>0.6</v>
      </c>
      <c r="D23" s="2" t="inlineStr">
        <is>
          <t>OccSch_Unoccupied</t>
        </is>
      </c>
      <c r="E23" s="2" t="n">
        <v>6</v>
      </c>
      <c r="F23" s="2" t="inlineStr">
        <is>
          <t>LghSch_Costant</t>
        </is>
      </c>
      <c r="G23" s="2" t="n">
        <v>0</v>
      </c>
      <c r="H23" s="2" t="n">
        <v>2</v>
      </c>
      <c r="I23" s="2" t="inlineStr">
        <is>
          <t>EqpSch_Costant</t>
        </is>
      </c>
      <c r="J23" s="2" t="n">
        <v>0.007</v>
      </c>
      <c r="K23" s="2">
        <f>IF(J23="","",J23*1000)</f>
        <v/>
      </c>
      <c r="L23" s="2" t="n">
        <v>0.00373838</v>
      </c>
      <c r="M23" s="2">
        <f>IF(L23="","",L23*1000)</f>
        <v/>
      </c>
      <c r="N23" s="2" t="inlineStr">
        <is>
          <t>Maximum</t>
        </is>
      </c>
      <c r="O23" s="2" t="inlineStr">
        <is>
          <t>VntSch_AHU</t>
        </is>
      </c>
      <c r="P23" s="2" t="inlineStr">
        <is>
          <t>HtnSch_AHU</t>
        </is>
      </c>
      <c r="Q23" s="2" t="inlineStr">
        <is>
          <t>ClnSch_AHU</t>
        </is>
      </c>
      <c r="R23" s="2" t="n">
        <v>70</v>
      </c>
      <c r="S23" s="2" t="n">
        <v>40</v>
      </c>
      <c r="T23" s="2" t="inlineStr">
        <is>
          <t>Generic room Heating</t>
        </is>
      </c>
      <c r="U23" s="2" t="inlineStr">
        <is>
          <t>Generic room Cooling</t>
        </is>
      </c>
      <c r="V23" s="2" t="n">
        <v>0.0001</v>
      </c>
      <c r="W23" s="2" t="n">
        <v>10</v>
      </c>
      <c r="X23" s="2" t="n">
        <v>1</v>
      </c>
    </row>
    <row r="24">
      <c r="A24" s="2" t="inlineStr">
        <is>
          <t>B09</t>
        </is>
      </c>
      <c r="B24" s="2" t="inlineStr">
        <is>
          <t>zone10</t>
        </is>
      </c>
      <c r="C24" s="2" t="n">
        <v>0</v>
      </c>
      <c r="D24" s="2" t="inlineStr">
        <is>
          <t>OccSch_Unoccupied</t>
        </is>
      </c>
      <c r="E24" s="2" t="n">
        <v>6</v>
      </c>
      <c r="F24" s="2" t="inlineStr">
        <is>
          <t>AlwaysOff</t>
        </is>
      </c>
      <c r="G24" s="2" t="n">
        <v>0</v>
      </c>
      <c r="H24" s="2" t="n">
        <v>0</v>
      </c>
      <c r="I24" s="2" t="inlineStr">
        <is>
          <t>AlwaysOff</t>
        </is>
      </c>
      <c r="J24" s="2" t="n">
        <v>0</v>
      </c>
      <c r="K24" s="2">
        <f>IF(J24="","",J24*1000)</f>
        <v/>
      </c>
      <c r="L24" s="2" t="n">
        <v>0.001</v>
      </c>
      <c r="M24" s="2">
        <f>IF(L24="","",L24*1000)</f>
        <v/>
      </c>
      <c r="N24" s="2" t="inlineStr">
        <is>
          <t>Maximum</t>
        </is>
      </c>
      <c r="O24" s="2" t="inlineStr">
        <is>
          <t>AlwaysOff</t>
        </is>
      </c>
      <c r="P24" s="2" t="inlineStr">
        <is>
          <t>AlwaysOff</t>
        </is>
      </c>
      <c r="Q24" s="2" t="inlineStr">
        <is>
          <t>AlwaysOff</t>
        </is>
      </c>
      <c r="R24" s="2" t="n">
        <v>70</v>
      </c>
      <c r="S24" s="2" t="n">
        <v>40</v>
      </c>
      <c r="T24" s="2" t="inlineStr">
        <is>
          <t>Generic room Heating</t>
        </is>
      </c>
      <c r="U24" s="2" t="inlineStr">
        <is>
          <t>Generic room Cooling</t>
        </is>
      </c>
      <c r="V24" s="2" t="n">
        <v>0.0001</v>
      </c>
      <c r="W24" s="2" t="n">
        <v>186</v>
      </c>
      <c r="X24" s="2" t="n">
        <v>8</v>
      </c>
    </row>
    <row r="25">
      <c r="A25" s="2" t="inlineStr">
        <is>
          <t>B09</t>
        </is>
      </c>
      <c r="B25" s="2" t="inlineStr">
        <is>
          <t>zone11</t>
        </is>
      </c>
      <c r="C25" s="2" t="n">
        <v>0.12</v>
      </c>
      <c r="D25" s="2" t="inlineStr">
        <is>
          <t>OccSch_Unoccupied</t>
        </is>
      </c>
      <c r="E25" s="2" t="n">
        <v>7</v>
      </c>
      <c r="F25" s="2" t="inlineStr">
        <is>
          <t>LghSch_Costant</t>
        </is>
      </c>
      <c r="G25" s="2" t="n">
        <v>0</v>
      </c>
      <c r="H25" s="2" t="n">
        <v>2</v>
      </c>
      <c r="I25" s="2" t="inlineStr">
        <is>
          <t>EqpSch_Costant</t>
        </is>
      </c>
      <c r="J25" s="2" t="n">
        <v>0.007</v>
      </c>
      <c r="K25" s="2">
        <f>IF(J25="","",J25*1000)</f>
        <v/>
      </c>
      <c r="L25" s="2" t="n">
        <v>0.00068599</v>
      </c>
      <c r="M25" s="2">
        <f>IF(L25="","",L25*1000)</f>
        <v/>
      </c>
      <c r="N25" s="2" t="inlineStr">
        <is>
          <t>Maximum</t>
        </is>
      </c>
      <c r="O25" s="2" t="inlineStr">
        <is>
          <t>VntSch_AHU</t>
        </is>
      </c>
      <c r="P25" s="2" t="inlineStr">
        <is>
          <t>HtnSch_AHU</t>
        </is>
      </c>
      <c r="Q25" s="2" t="inlineStr">
        <is>
          <t>ClnSch_AHU</t>
        </is>
      </c>
      <c r="R25" s="2" t="n">
        <v>70</v>
      </c>
      <c r="S25" s="2" t="n">
        <v>40</v>
      </c>
      <c r="T25" s="2" t="inlineStr">
        <is>
          <t>Generic room Heating</t>
        </is>
      </c>
      <c r="U25" s="2" t="inlineStr">
        <is>
          <t>Generic room Cooling</t>
        </is>
      </c>
      <c r="V25" s="2" t="n">
        <v>0.0001</v>
      </c>
      <c r="W25" s="2" t="n">
        <v>11</v>
      </c>
      <c r="X25" s="2" t="n">
        <v>1</v>
      </c>
    </row>
    <row r="26">
      <c r="A26" s="2" t="inlineStr">
        <is>
          <t>B09</t>
        </is>
      </c>
      <c r="B26" s="2" t="inlineStr">
        <is>
          <t>zone12-0</t>
        </is>
      </c>
      <c r="C26" s="2" t="n">
        <v>0</v>
      </c>
      <c r="D26" s="2" t="inlineStr">
        <is>
          <t>OccSch_Unoccupied</t>
        </is>
      </c>
      <c r="E26" s="2" t="n">
        <v>6</v>
      </c>
      <c r="F26" s="2" t="inlineStr">
        <is>
          <t>LghSch_Costant</t>
        </is>
      </c>
      <c r="G26" s="2" t="n">
        <v>0</v>
      </c>
      <c r="H26" s="2" t="n">
        <v>2</v>
      </c>
      <c r="I26" s="2" t="inlineStr">
        <is>
          <t>EqpSch_Costant</t>
        </is>
      </c>
      <c r="J26" s="2" t="n">
        <v>0</v>
      </c>
      <c r="K26" s="2">
        <f>IF(J26="","",J26*1000)</f>
        <v/>
      </c>
      <c r="L26" s="2" t="n">
        <v>0</v>
      </c>
      <c r="M26" s="2">
        <f>IF(L26="","",L26*1000)</f>
        <v/>
      </c>
      <c r="N26" s="2" t="inlineStr">
        <is>
          <t>Maximum</t>
        </is>
      </c>
      <c r="O26" s="2" t="inlineStr">
        <is>
          <t>VntSch_AHU</t>
        </is>
      </c>
      <c r="P26" s="2" t="inlineStr">
        <is>
          <t>HtnSch_AHU</t>
        </is>
      </c>
      <c r="Q26" s="2" t="inlineStr">
        <is>
          <t>ClnSch_AHU</t>
        </is>
      </c>
      <c r="R26" s="2" t="n">
        <v>70</v>
      </c>
      <c r="S26" s="2" t="n">
        <v>40</v>
      </c>
      <c r="T26" s="2" t="inlineStr">
        <is>
          <t>Generic room Heating</t>
        </is>
      </c>
      <c r="U26" s="2" t="inlineStr">
        <is>
          <t>Generic room Cooling</t>
        </is>
      </c>
      <c r="V26" s="2" t="n">
        <v>0.0001</v>
      </c>
      <c r="W26" s="2" t="n">
        <v>21</v>
      </c>
      <c r="X26" s="2" t="n">
        <v>0</v>
      </c>
    </row>
    <row r="27">
      <c r="A27" s="2" t="inlineStr">
        <is>
          <t>B09</t>
        </is>
      </c>
      <c r="B27" s="2" t="inlineStr">
        <is>
          <t>zone12-1</t>
        </is>
      </c>
      <c r="C27" s="2" t="n">
        <v>0</v>
      </c>
      <c r="D27" s="2" t="inlineStr">
        <is>
          <t>OccSch_Unoccupied</t>
        </is>
      </c>
      <c r="E27" s="2" t="n">
        <v>6</v>
      </c>
      <c r="F27" s="2" t="inlineStr">
        <is>
          <t>AlwaysOff</t>
        </is>
      </c>
      <c r="G27" s="2" t="n">
        <v>0</v>
      </c>
      <c r="H27" s="2" t="n">
        <v>0</v>
      </c>
      <c r="I27" s="2" t="inlineStr">
        <is>
          <t>AlwaysOff</t>
        </is>
      </c>
      <c r="J27" s="2" t="n">
        <v>0</v>
      </c>
      <c r="K27" s="2">
        <f>IF(J27="","",J27*1000)</f>
        <v/>
      </c>
      <c r="L27" s="2" t="n">
        <v>0</v>
      </c>
      <c r="M27" s="2">
        <f>IF(L27="","",L27*1000)</f>
        <v/>
      </c>
      <c r="N27" s="2" t="inlineStr">
        <is>
          <t>Maximum</t>
        </is>
      </c>
      <c r="O27" s="2" t="inlineStr">
        <is>
          <t>AlwaysOff</t>
        </is>
      </c>
      <c r="P27" s="2" t="inlineStr">
        <is>
          <t>AlwaysOff</t>
        </is>
      </c>
      <c r="Q27" s="2" t="inlineStr">
        <is>
          <t>AlwaysOff</t>
        </is>
      </c>
      <c r="R27" s="2" t="n">
        <v>70</v>
      </c>
      <c r="S27" s="2" t="n">
        <v>40</v>
      </c>
      <c r="T27" s="2" t="inlineStr">
        <is>
          <t>Generic room Heating</t>
        </is>
      </c>
      <c r="U27" s="2" t="inlineStr">
        <is>
          <t>Generic room Cooling</t>
        </is>
      </c>
      <c r="V27" s="2" t="n">
        <v>0.0001</v>
      </c>
      <c r="W27" s="2" t="n">
        <v>10</v>
      </c>
      <c r="X27" s="2" t="n">
        <v>0</v>
      </c>
    </row>
    <row r="28">
      <c r="A28" s="2" t="inlineStr">
        <is>
          <t>B09</t>
        </is>
      </c>
      <c r="B28" s="2" t="inlineStr">
        <is>
          <t>zone12-2</t>
        </is>
      </c>
      <c r="C28" s="2" t="n">
        <v>0</v>
      </c>
      <c r="D28" s="2" t="inlineStr">
        <is>
          <t>OccSch_Unoccupied</t>
        </is>
      </c>
      <c r="E28" s="2" t="n">
        <v>6</v>
      </c>
      <c r="F28" s="2" t="inlineStr">
        <is>
          <t>LghSch_Costant</t>
        </is>
      </c>
      <c r="G28" s="2" t="n">
        <v>0</v>
      </c>
      <c r="H28" s="2" t="n">
        <v>2</v>
      </c>
      <c r="I28" s="2" t="inlineStr">
        <is>
          <t>EqpSch_Costant</t>
        </is>
      </c>
      <c r="J28" s="2" t="n">
        <v>0</v>
      </c>
      <c r="K28" s="2">
        <f>IF(J28="","",J28*1000)</f>
        <v/>
      </c>
      <c r="L28" s="2" t="n">
        <v>0</v>
      </c>
      <c r="M28" s="2">
        <f>IF(L28="","",L28*1000)</f>
        <v/>
      </c>
      <c r="N28" s="2" t="inlineStr">
        <is>
          <t>Maximum</t>
        </is>
      </c>
      <c r="O28" s="2" t="inlineStr">
        <is>
          <t>VntSch_AHU</t>
        </is>
      </c>
      <c r="P28" s="2" t="inlineStr">
        <is>
          <t>HtnSch_AHU</t>
        </is>
      </c>
      <c r="Q28" s="2" t="inlineStr">
        <is>
          <t>ClnSch_AHU</t>
        </is>
      </c>
      <c r="R28" s="2" t="n">
        <v>70</v>
      </c>
      <c r="S28" s="2" t="n">
        <v>40</v>
      </c>
      <c r="T28" s="2" t="inlineStr">
        <is>
          <t>Generic room Heating</t>
        </is>
      </c>
      <c r="U28" s="2" t="inlineStr">
        <is>
          <t>Generic room Cooling</t>
        </is>
      </c>
      <c r="V28" s="2" t="n">
        <v>0.0001</v>
      </c>
      <c r="W28" s="2" t="n">
        <v>8</v>
      </c>
      <c r="X28" s="2" t="n">
        <v>0</v>
      </c>
    </row>
    <row r="29">
      <c r="A29" s="2" t="inlineStr">
        <is>
          <t>B09</t>
        </is>
      </c>
      <c r="B29" s="2" t="inlineStr">
        <is>
          <t>zone13</t>
        </is>
      </c>
      <c r="C29" s="2" t="n">
        <v>0</v>
      </c>
      <c r="D29" s="2" t="inlineStr">
        <is>
          <t>OccSch_Unoccupied</t>
        </is>
      </c>
      <c r="E29" s="2" t="n">
        <v>6</v>
      </c>
      <c r="F29" s="2" t="inlineStr">
        <is>
          <t>AlwaysOff</t>
        </is>
      </c>
      <c r="G29" s="2" t="n">
        <v>0</v>
      </c>
      <c r="H29" s="2" t="n">
        <v>0</v>
      </c>
      <c r="I29" s="2" t="inlineStr">
        <is>
          <t>AlwaysOff</t>
        </is>
      </c>
      <c r="J29" s="2" t="n">
        <v>0</v>
      </c>
      <c r="K29" s="2">
        <f>IF(J29="","",J29*1000)</f>
        <v/>
      </c>
      <c r="L29" s="2" t="n">
        <v>0</v>
      </c>
      <c r="M29" s="2">
        <f>IF(L29="","",L29*1000)</f>
        <v/>
      </c>
      <c r="N29" s="2" t="inlineStr">
        <is>
          <t>Maximum</t>
        </is>
      </c>
      <c r="O29" s="2" t="inlineStr">
        <is>
          <t>AlwaysOff</t>
        </is>
      </c>
      <c r="P29" s="2" t="inlineStr">
        <is>
          <t>AlwaysOff</t>
        </is>
      </c>
      <c r="Q29" s="2" t="inlineStr">
        <is>
          <t>AlwaysOff</t>
        </is>
      </c>
      <c r="R29" s="2" t="n">
        <v>70</v>
      </c>
      <c r="S29" s="2" t="n">
        <v>40</v>
      </c>
      <c r="T29" s="2" t="inlineStr">
        <is>
          <t>Generic room Heating</t>
        </is>
      </c>
      <c r="U29" s="2" t="inlineStr">
        <is>
          <t>Generic room Cooling</t>
        </is>
      </c>
      <c r="V29" s="2" t="n">
        <v>0.0001</v>
      </c>
      <c r="W29" s="2" t="n">
        <v>59</v>
      </c>
      <c r="X29" s="2" t="n">
        <v>0</v>
      </c>
    </row>
    <row r="30">
      <c r="A30" s="2" t="inlineStr">
        <is>
          <t>B09</t>
        </is>
      </c>
      <c r="B30" s="2" t="inlineStr">
        <is>
          <t>zone14</t>
        </is>
      </c>
      <c r="C30" s="2" t="n">
        <v>0</v>
      </c>
      <c r="D30" s="2" t="inlineStr">
        <is>
          <t>OccSch_Unoccupied</t>
        </is>
      </c>
      <c r="E30" s="2" t="n">
        <v>6</v>
      </c>
      <c r="F30" s="2" t="inlineStr">
        <is>
          <t>AlwaysOff</t>
        </is>
      </c>
      <c r="G30" s="2" t="n">
        <v>0</v>
      </c>
      <c r="H30" s="2" t="n">
        <v>0</v>
      </c>
      <c r="I30" s="2" t="inlineStr">
        <is>
          <t>AlwaysOff</t>
        </is>
      </c>
      <c r="J30" s="2" t="n">
        <v>0</v>
      </c>
      <c r="K30" s="2">
        <f>IF(J30="","",J30*1000)</f>
        <v/>
      </c>
      <c r="L30" s="2" t="n">
        <v>0</v>
      </c>
      <c r="M30" s="2">
        <f>IF(L30="","",L30*1000)</f>
        <v/>
      </c>
      <c r="N30" s="2" t="inlineStr">
        <is>
          <t>Maximum</t>
        </is>
      </c>
      <c r="O30" s="2" t="inlineStr">
        <is>
          <t>AlwaysOff</t>
        </is>
      </c>
      <c r="P30" s="2" t="inlineStr">
        <is>
          <t>AlwaysOff</t>
        </is>
      </c>
      <c r="Q30" s="2" t="inlineStr">
        <is>
          <t>AlwaysOff</t>
        </is>
      </c>
      <c r="R30" s="2" t="n">
        <v>70</v>
      </c>
      <c r="S30" s="2" t="n">
        <v>40</v>
      </c>
      <c r="T30" s="2" t="inlineStr">
        <is>
          <t>Generic room Heating</t>
        </is>
      </c>
      <c r="U30" s="2" t="inlineStr">
        <is>
          <t>Generic room Cooling</t>
        </is>
      </c>
      <c r="V30" s="2" t="n">
        <v>0.0001</v>
      </c>
      <c r="W30" s="2" t="n">
        <v>234</v>
      </c>
      <c r="X30" s="2" t="n">
        <v>12</v>
      </c>
    </row>
    <row r="31">
      <c r="A31" s="2" t="inlineStr">
        <is>
          <t>B09</t>
        </is>
      </c>
      <c r="B31" s="2" t="inlineStr">
        <is>
          <t>zone15</t>
        </is>
      </c>
      <c r="C31" s="2" t="n">
        <v>0.6</v>
      </c>
      <c r="D31" s="2" t="inlineStr">
        <is>
          <t>OccSch_B0.1</t>
        </is>
      </c>
      <c r="E31" s="2" t="n">
        <v>6</v>
      </c>
      <c r="F31" s="2" t="inlineStr">
        <is>
          <t>LghSch_Costant</t>
        </is>
      </c>
      <c r="G31" s="2" t="n">
        <v>0</v>
      </c>
      <c r="H31" s="2" t="n">
        <v>2</v>
      </c>
      <c r="I31" s="2" t="inlineStr">
        <is>
          <t>EqpSch_Costant</t>
        </is>
      </c>
      <c r="J31" s="2" t="n">
        <v>0.007</v>
      </c>
      <c r="K31" s="2">
        <f>IF(J31="","",J31*1000)</f>
        <v/>
      </c>
      <c r="L31" s="2" t="n">
        <v>0.00526421</v>
      </c>
      <c r="M31" s="2">
        <f>IF(L31="","",L31*1000)</f>
        <v/>
      </c>
      <c r="N31" s="2" t="inlineStr">
        <is>
          <t>Maximum</t>
        </is>
      </c>
      <c r="O31" s="2" t="inlineStr">
        <is>
          <t>VntSch_AHU</t>
        </is>
      </c>
      <c r="P31" s="2" t="inlineStr">
        <is>
          <t>HtnSch_AHU</t>
        </is>
      </c>
      <c r="Q31" s="2" t="inlineStr">
        <is>
          <t>ClnSch_AHU</t>
        </is>
      </c>
      <c r="R31" s="2" t="n">
        <v>70</v>
      </c>
      <c r="S31" s="2" t="n">
        <v>40</v>
      </c>
      <c r="T31" s="2" t="inlineStr">
        <is>
          <t>Generic room Heating</t>
        </is>
      </c>
      <c r="U31" s="2" t="inlineStr">
        <is>
          <t>Generic room Cooling</t>
        </is>
      </c>
      <c r="V31" s="2" t="n">
        <v>0.0001</v>
      </c>
      <c r="W31" s="2" t="n">
        <v>13</v>
      </c>
      <c r="X31" s="2" t="n">
        <v>1</v>
      </c>
    </row>
    <row r="32">
      <c r="A32" s="2" t="inlineStr">
        <is>
          <t>B09</t>
        </is>
      </c>
      <c r="B32" s="2" t="inlineStr">
        <is>
          <t>zone16</t>
        </is>
      </c>
      <c r="C32" s="2" t="n">
        <v>0.3</v>
      </c>
      <c r="D32" s="2" t="inlineStr">
        <is>
          <t>OccSch_Unoccupied</t>
        </is>
      </c>
      <c r="E32" s="2" t="n">
        <v>6</v>
      </c>
      <c r="F32" s="2" t="inlineStr">
        <is>
          <t>LghSch_Costant</t>
        </is>
      </c>
      <c r="G32" s="2" t="n">
        <v>0</v>
      </c>
      <c r="H32" s="2" t="n">
        <v>2</v>
      </c>
      <c r="I32" s="2" t="inlineStr">
        <is>
          <t>EqpSch_Costant</t>
        </is>
      </c>
      <c r="J32" s="2" t="n">
        <v>0.007</v>
      </c>
      <c r="K32" s="2">
        <f>IF(J32="","",J32*1000)</f>
        <v/>
      </c>
      <c r="L32" s="2" t="n">
        <v>0.00186335</v>
      </c>
      <c r="M32" s="2">
        <f>IF(L32="","",L32*1000)</f>
        <v/>
      </c>
      <c r="N32" s="2" t="inlineStr">
        <is>
          <t>Maximum</t>
        </is>
      </c>
      <c r="O32" s="2" t="inlineStr">
        <is>
          <t>VntSch_AHU</t>
        </is>
      </c>
      <c r="P32" s="2" t="inlineStr">
        <is>
          <t>HtnSch_AHU</t>
        </is>
      </c>
      <c r="Q32" s="2" t="inlineStr">
        <is>
          <t>ClnSch_AHU</t>
        </is>
      </c>
      <c r="R32" s="2" t="n">
        <v>70</v>
      </c>
      <c r="S32" s="2" t="n">
        <v>40</v>
      </c>
      <c r="T32" s="2" t="inlineStr">
        <is>
          <t>Generic room Heating</t>
        </is>
      </c>
      <c r="U32" s="2" t="inlineStr">
        <is>
          <t>Generic room Cooling</t>
        </is>
      </c>
      <c r="V32" s="2" t="n">
        <v>0.0001</v>
      </c>
      <c r="W32" s="2" t="n">
        <v>8</v>
      </c>
      <c r="X32" s="2" t="n">
        <v>0</v>
      </c>
    </row>
    <row r="33">
      <c r="A33" s="2" t="inlineStr">
        <is>
          <t>B09</t>
        </is>
      </c>
      <c r="B33" s="2" t="inlineStr">
        <is>
          <t>zone17</t>
        </is>
      </c>
      <c r="C33" s="2" t="n">
        <v>0.3</v>
      </c>
      <c r="D33" s="2" t="inlineStr">
        <is>
          <t>OccSch_Unoccupied</t>
        </is>
      </c>
      <c r="E33" s="2" t="n">
        <v>6</v>
      </c>
      <c r="F33" s="2" t="inlineStr">
        <is>
          <t>LghSch_Costant</t>
        </is>
      </c>
      <c r="G33" s="2" t="n">
        <v>0</v>
      </c>
      <c r="H33" s="2" t="n">
        <v>2</v>
      </c>
      <c r="I33" s="2" t="inlineStr">
        <is>
          <t>EqpSch_Costant</t>
        </is>
      </c>
      <c r="J33" s="2" t="n">
        <v>0.007</v>
      </c>
      <c r="K33" s="2">
        <f>IF(J33="","",J33*1000)</f>
        <v/>
      </c>
      <c r="L33" s="2" t="n">
        <v>0.00179256</v>
      </c>
      <c r="M33" s="2">
        <f>IF(L33="","",L33*1000)</f>
        <v/>
      </c>
      <c r="N33" s="2" t="inlineStr">
        <is>
          <t>Maximum</t>
        </is>
      </c>
      <c r="O33" s="2" t="inlineStr">
        <is>
          <t>VntSch_AHU</t>
        </is>
      </c>
      <c r="P33" s="2" t="inlineStr">
        <is>
          <t>HtnSch_AHU</t>
        </is>
      </c>
      <c r="Q33" s="2" t="inlineStr">
        <is>
          <t>ClnSch_AHU</t>
        </is>
      </c>
      <c r="R33" s="2" t="n">
        <v>70</v>
      </c>
      <c r="S33" s="2" t="n">
        <v>40</v>
      </c>
      <c r="T33" s="2" t="inlineStr">
        <is>
          <t>Generic room Heating</t>
        </is>
      </c>
      <c r="U33" s="2" t="inlineStr">
        <is>
          <t>Generic room Cooling</t>
        </is>
      </c>
      <c r="V33" s="2" t="n">
        <v>0.0001</v>
      </c>
      <c r="W33" s="2" t="n">
        <v>10</v>
      </c>
      <c r="X33" s="2" t="n">
        <v>0</v>
      </c>
    </row>
    <row r="34">
      <c r="A34" s="2" t="inlineStr">
        <is>
          <t>B09</t>
        </is>
      </c>
      <c r="B34" s="2" t="inlineStr">
        <is>
          <t>zone18</t>
        </is>
      </c>
      <c r="C34" s="2" t="n">
        <v>0.3</v>
      </c>
      <c r="D34" s="2" t="inlineStr">
        <is>
          <t>OccSch_Unoccupied</t>
        </is>
      </c>
      <c r="E34" s="2" t="n">
        <v>6</v>
      </c>
      <c r="F34" s="2" t="inlineStr">
        <is>
          <t>LghSch_Costant</t>
        </is>
      </c>
      <c r="G34" s="2" t="n">
        <v>0</v>
      </c>
      <c r="H34" s="2" t="n">
        <v>2</v>
      </c>
      <c r="I34" s="2" t="inlineStr">
        <is>
          <t>EqpSch_Costant</t>
        </is>
      </c>
      <c r="J34" s="2" t="n">
        <v>0.007</v>
      </c>
      <c r="K34" s="2">
        <f>IF(J34="","",J34*1000)</f>
        <v/>
      </c>
      <c r="L34" s="2" t="n">
        <v>0.00176183</v>
      </c>
      <c r="M34" s="2">
        <f>IF(L34="","",L34*1000)</f>
        <v/>
      </c>
      <c r="N34" s="2" t="inlineStr">
        <is>
          <t>Maximum</t>
        </is>
      </c>
      <c r="O34" s="2" t="inlineStr">
        <is>
          <t>VntSch_AHU</t>
        </is>
      </c>
      <c r="P34" s="2" t="inlineStr">
        <is>
          <t>HtnSch_AHU</t>
        </is>
      </c>
      <c r="Q34" s="2" t="inlineStr">
        <is>
          <t>ClnSch_AHU</t>
        </is>
      </c>
      <c r="R34" s="2" t="n">
        <v>70</v>
      </c>
      <c r="S34" s="2" t="n">
        <v>40</v>
      </c>
      <c r="T34" s="2" t="inlineStr">
        <is>
          <t>Generic room Heating</t>
        </is>
      </c>
      <c r="U34" s="2" t="inlineStr">
        <is>
          <t>Generic room Cooling</t>
        </is>
      </c>
      <c r="V34" s="2" t="n">
        <v>0.0001</v>
      </c>
      <c r="W34" s="2" t="n">
        <v>15</v>
      </c>
      <c r="X34" s="2" t="n">
        <v>0</v>
      </c>
    </row>
    <row r="35">
      <c r="A35" s="2" t="inlineStr">
        <is>
          <t>B09</t>
        </is>
      </c>
      <c r="B35" s="2" t="inlineStr">
        <is>
          <t>zone19</t>
        </is>
      </c>
      <c r="C35" s="2" t="n">
        <v>0.3</v>
      </c>
      <c r="D35" s="2" t="inlineStr">
        <is>
          <t>OccSch_Unoccupied</t>
        </is>
      </c>
      <c r="E35" s="2" t="n">
        <v>6</v>
      </c>
      <c r="F35" s="2" t="inlineStr">
        <is>
          <t>LghSch_Costant</t>
        </is>
      </c>
      <c r="G35" s="2" t="n">
        <v>0</v>
      </c>
      <c r="H35" s="2" t="n">
        <v>2</v>
      </c>
      <c r="I35" s="2" t="inlineStr">
        <is>
          <t>EqpSch_Costant</t>
        </is>
      </c>
      <c r="J35" s="2" t="n">
        <v>0.007</v>
      </c>
      <c r="K35" s="2">
        <f>IF(J35="","",J35*1000)</f>
        <v/>
      </c>
      <c r="L35" s="2" t="n">
        <v>0.00168506</v>
      </c>
      <c r="M35" s="2">
        <f>IF(L35="","",L35*1000)</f>
        <v/>
      </c>
      <c r="N35" s="2" t="inlineStr">
        <is>
          <t>Maximum</t>
        </is>
      </c>
      <c r="O35" s="2" t="inlineStr">
        <is>
          <t>VntSch_AHU</t>
        </is>
      </c>
      <c r="P35" s="2" t="inlineStr">
        <is>
          <t>HtnSch_AHU</t>
        </is>
      </c>
      <c r="Q35" s="2" t="inlineStr">
        <is>
          <t>ClnSch_AHU</t>
        </is>
      </c>
      <c r="R35" s="2" t="n">
        <v>70</v>
      </c>
      <c r="S35" s="2" t="n">
        <v>40</v>
      </c>
      <c r="T35" s="2" t="inlineStr">
        <is>
          <t>Generic room Heating</t>
        </is>
      </c>
      <c r="U35" s="2" t="inlineStr">
        <is>
          <t>Generic room Cooling</t>
        </is>
      </c>
      <c r="V35" s="2" t="n">
        <v>0.0001</v>
      </c>
      <c r="W35" s="2" t="n">
        <v>10</v>
      </c>
      <c r="X35" s="2" t="n">
        <v>0</v>
      </c>
    </row>
    <row r="36">
      <c r="A36" s="2" t="inlineStr">
        <is>
          <t>B09</t>
        </is>
      </c>
      <c r="B36" s="2" t="inlineStr">
        <is>
          <t>zone20</t>
        </is>
      </c>
      <c r="C36" s="2" t="n">
        <v>0.3</v>
      </c>
      <c r="D36" s="2" t="inlineStr">
        <is>
          <t>OccSch_Unoccupied</t>
        </is>
      </c>
      <c r="E36" s="2" t="n">
        <v>6</v>
      </c>
      <c r="F36" s="2" t="inlineStr">
        <is>
          <t>LghSch_Costant</t>
        </is>
      </c>
      <c r="G36" s="2" t="n">
        <v>0</v>
      </c>
      <c r="H36" s="2" t="n">
        <v>2</v>
      </c>
      <c r="I36" s="2" t="inlineStr">
        <is>
          <t>EqpSch_Costant</t>
        </is>
      </c>
      <c r="J36" s="2" t="n">
        <v>0.007</v>
      </c>
      <c r="K36" s="2">
        <f>IF(J36="","",J36*1000)</f>
        <v/>
      </c>
      <c r="L36" s="2" t="n">
        <v>0.00147905</v>
      </c>
      <c r="M36" s="2">
        <f>IF(L36="","",L36*1000)</f>
        <v/>
      </c>
      <c r="N36" s="2" t="inlineStr">
        <is>
          <t>Maximum</t>
        </is>
      </c>
      <c r="O36" s="2" t="inlineStr">
        <is>
          <t>VntSch_AHU</t>
        </is>
      </c>
      <c r="P36" s="2" t="inlineStr">
        <is>
          <t>HtnSch_AHU</t>
        </is>
      </c>
      <c r="Q36" s="2" t="inlineStr">
        <is>
          <t>ClnSch_AHU</t>
        </is>
      </c>
      <c r="R36" s="2" t="n">
        <v>70</v>
      </c>
      <c r="S36" s="2" t="n">
        <v>40</v>
      </c>
      <c r="T36" s="2" t="inlineStr">
        <is>
          <t>Generic room Heating</t>
        </is>
      </c>
      <c r="U36" s="2" t="inlineStr">
        <is>
          <t>Generic room Cooling</t>
        </is>
      </c>
      <c r="V36" s="2" t="n">
        <v>0.0001</v>
      </c>
      <c r="W36" s="2" t="n">
        <v>7</v>
      </c>
      <c r="X36" s="2" t="n">
        <v>0</v>
      </c>
    </row>
    <row r="37">
      <c r="A37" s="2" t="inlineStr">
        <is>
          <t>B09</t>
        </is>
      </c>
      <c r="B37" s="2" t="inlineStr">
        <is>
          <t>zone21</t>
        </is>
      </c>
      <c r="C37" s="2" t="n">
        <v>0.6</v>
      </c>
      <c r="D37" s="2" t="inlineStr">
        <is>
          <t>OccSch_B2.3</t>
        </is>
      </c>
      <c r="E37" s="2" t="n">
        <v>6</v>
      </c>
      <c r="F37" s="2" t="inlineStr">
        <is>
          <t>LghSch_Costant</t>
        </is>
      </c>
      <c r="G37" s="2" t="n">
        <v>0</v>
      </c>
      <c r="H37" s="2" t="n">
        <v>2</v>
      </c>
      <c r="I37" s="2" t="inlineStr">
        <is>
          <t>EqpSch_Costant</t>
        </is>
      </c>
      <c r="J37" s="2" t="n">
        <v>0.007</v>
      </c>
      <c r="K37" s="2">
        <f>IF(J37="","",J37*1000)</f>
        <v/>
      </c>
      <c r="L37" s="2" t="n">
        <v>0.00033794</v>
      </c>
      <c r="M37" s="2">
        <f>IF(L37="","",L37*1000)</f>
        <v/>
      </c>
      <c r="N37" s="2" t="inlineStr">
        <is>
          <t>Maximum</t>
        </is>
      </c>
      <c r="O37" s="2" t="inlineStr">
        <is>
          <t>VntSch_AHU</t>
        </is>
      </c>
      <c r="P37" s="2" t="inlineStr">
        <is>
          <t>HtnSch_AHU</t>
        </is>
      </c>
      <c r="Q37" s="2" t="inlineStr">
        <is>
          <t>ClnSch_AHU</t>
        </is>
      </c>
      <c r="R37" s="2" t="n">
        <v>70</v>
      </c>
      <c r="S37" s="2" t="n">
        <v>40</v>
      </c>
      <c r="T37" s="2" t="inlineStr">
        <is>
          <t>Generic room Heating</t>
        </is>
      </c>
      <c r="U37" s="2" t="inlineStr">
        <is>
          <t>Generic room Cooling</t>
        </is>
      </c>
      <c r="V37" s="2" t="n">
        <v>0.0001</v>
      </c>
      <c r="W37" s="2" t="n">
        <v>14</v>
      </c>
      <c r="X37" s="2" t="n">
        <v>1</v>
      </c>
    </row>
    <row r="38">
      <c r="A38" s="2" t="inlineStr">
        <is>
          <t>B09</t>
        </is>
      </c>
      <c r="B38" s="2" t="inlineStr">
        <is>
          <t>zone22</t>
        </is>
      </c>
      <c r="C38" s="2" t="n">
        <v>0.6</v>
      </c>
      <c r="D38" s="2" t="inlineStr">
        <is>
          <t>OccSch_B2.4</t>
        </is>
      </c>
      <c r="E38" s="2" t="n">
        <v>6</v>
      </c>
      <c r="F38" s="2" t="inlineStr">
        <is>
          <t>LghSch_Costant</t>
        </is>
      </c>
      <c r="G38" s="2" t="n">
        <v>0</v>
      </c>
      <c r="H38" s="2" t="n">
        <v>2</v>
      </c>
      <c r="I38" s="2" t="inlineStr">
        <is>
          <t>EqpSch_Costant</t>
        </is>
      </c>
      <c r="J38" s="2" t="n">
        <v>0.007</v>
      </c>
      <c r="K38" s="2">
        <f>IF(J38="","",J38*1000)</f>
        <v/>
      </c>
      <c r="L38" s="2" t="n">
        <v>0.0033067</v>
      </c>
      <c r="M38" s="2">
        <f>IF(L38="","",L38*1000)</f>
        <v/>
      </c>
      <c r="N38" s="2" t="inlineStr">
        <is>
          <t>Maximum</t>
        </is>
      </c>
      <c r="O38" s="2" t="inlineStr">
        <is>
          <t>VntSch_AHU</t>
        </is>
      </c>
      <c r="P38" s="2" t="inlineStr">
        <is>
          <t>HtnSch_AHU</t>
        </is>
      </c>
      <c r="Q38" s="2" t="inlineStr">
        <is>
          <t>ClnSch_AHU</t>
        </is>
      </c>
      <c r="R38" s="2" t="n">
        <v>70</v>
      </c>
      <c r="S38" s="2" t="n">
        <v>40</v>
      </c>
      <c r="T38" s="2" t="inlineStr">
        <is>
          <t>Generic room Heating</t>
        </is>
      </c>
      <c r="U38" s="2" t="inlineStr">
        <is>
          <t>Generic room Cooling</t>
        </is>
      </c>
      <c r="V38" s="2" t="n">
        <v>0.0001</v>
      </c>
      <c r="W38" s="2" t="n">
        <v>13</v>
      </c>
      <c r="X38" s="2" t="n">
        <v>1</v>
      </c>
    </row>
    <row r="39">
      <c r="A39" s="2" t="inlineStr">
        <is>
          <t>B09</t>
        </is>
      </c>
      <c r="B39" s="2" t="inlineStr">
        <is>
          <t>zone23</t>
        </is>
      </c>
      <c r="C39" s="2" t="n">
        <v>0.6</v>
      </c>
      <c r="D39" s="2" t="inlineStr">
        <is>
          <t>OccSch_B2.6</t>
        </is>
      </c>
      <c r="E39" s="2" t="n">
        <v>6</v>
      </c>
      <c r="F39" s="2" t="inlineStr">
        <is>
          <t>LghSch_Costant</t>
        </is>
      </c>
      <c r="G39" s="2" t="n">
        <v>0</v>
      </c>
      <c r="H39" s="2" t="n">
        <v>2</v>
      </c>
      <c r="I39" s="2" t="inlineStr">
        <is>
          <t>EqpSch_Costant</t>
        </is>
      </c>
      <c r="J39" s="2" t="n">
        <v>0.007</v>
      </c>
      <c r="K39" s="2">
        <f>IF(J39="","",J39*1000)</f>
        <v/>
      </c>
      <c r="L39" s="2" t="n">
        <v>0.00440771</v>
      </c>
      <c r="M39" s="2">
        <f>IF(L39="","",L39*1000)</f>
        <v/>
      </c>
      <c r="N39" s="2" t="inlineStr">
        <is>
          <t>Maximum</t>
        </is>
      </c>
      <c r="O39" s="2" t="inlineStr">
        <is>
          <t>VntSch_AHU</t>
        </is>
      </c>
      <c r="P39" s="2" t="inlineStr">
        <is>
          <t>HtnSch_AHU</t>
        </is>
      </c>
      <c r="Q39" s="2" t="inlineStr">
        <is>
          <t>ClnSch_AHU</t>
        </is>
      </c>
      <c r="R39" s="2" t="n">
        <v>70</v>
      </c>
      <c r="S39" s="2" t="n">
        <v>40</v>
      </c>
      <c r="T39" s="2" t="inlineStr">
        <is>
          <t>Generic room Heating</t>
        </is>
      </c>
      <c r="U39" s="2" t="inlineStr">
        <is>
          <t>Generic room Cooling</t>
        </is>
      </c>
      <c r="V39" s="2" t="n">
        <v>0.0001</v>
      </c>
      <c r="W39" s="2" t="n">
        <v>13</v>
      </c>
      <c r="X39" s="2" t="n">
        <v>1</v>
      </c>
    </row>
    <row r="40">
      <c r="A40" s="2" t="inlineStr">
        <is>
          <t>B09</t>
        </is>
      </c>
      <c r="B40" s="2" t="inlineStr">
        <is>
          <t>zone24</t>
        </is>
      </c>
      <c r="C40" s="2" t="n">
        <v>0.6</v>
      </c>
      <c r="D40" s="2" t="inlineStr">
        <is>
          <t>OccSch_B2.5</t>
        </is>
      </c>
      <c r="E40" s="2" t="n">
        <v>6</v>
      </c>
      <c r="F40" s="2" t="inlineStr">
        <is>
          <t>LghSch_Costant</t>
        </is>
      </c>
      <c r="G40" s="2" t="n">
        <v>0</v>
      </c>
      <c r="H40" s="2" t="n">
        <v>2</v>
      </c>
      <c r="I40" s="2" t="inlineStr">
        <is>
          <t>EqpSch_Costant</t>
        </is>
      </c>
      <c r="J40" s="2" t="n">
        <v>0.007</v>
      </c>
      <c r="K40" s="2">
        <f>IF(J40="","",J40*1000)</f>
        <v/>
      </c>
      <c r="L40" s="2" t="n">
        <v>0.00429034</v>
      </c>
      <c r="M40" s="2">
        <f>IF(L40="","",L40*1000)</f>
        <v/>
      </c>
      <c r="N40" s="2" t="inlineStr">
        <is>
          <t>Maximum</t>
        </is>
      </c>
      <c r="O40" s="2" t="inlineStr">
        <is>
          <t>VntSch_AHU</t>
        </is>
      </c>
      <c r="P40" s="2" t="inlineStr">
        <is>
          <t>HtnSch_AHU</t>
        </is>
      </c>
      <c r="Q40" s="2" t="inlineStr">
        <is>
          <t>ClnSch_AHU</t>
        </is>
      </c>
      <c r="R40" s="2" t="n">
        <v>70</v>
      </c>
      <c r="S40" s="2" t="n">
        <v>40</v>
      </c>
      <c r="T40" s="2" t="inlineStr">
        <is>
          <t>Generic room Heating</t>
        </is>
      </c>
      <c r="U40" s="2" t="inlineStr">
        <is>
          <t>Generic room Cooling</t>
        </is>
      </c>
      <c r="V40" s="2" t="n">
        <v>0.0001</v>
      </c>
      <c r="W40" s="2" t="n">
        <v>14</v>
      </c>
      <c r="X40" s="2" t="n">
        <v>1</v>
      </c>
    </row>
    <row r="41">
      <c r="A41" s="2" t="inlineStr">
        <is>
          <t>B09</t>
        </is>
      </c>
      <c r="B41" s="2" t="inlineStr">
        <is>
          <t>zone25</t>
        </is>
      </c>
      <c r="C41" s="2" t="n">
        <v>0.6</v>
      </c>
      <c r="D41" s="2" t="inlineStr">
        <is>
          <t>OccSch_B2.2</t>
        </is>
      </c>
      <c r="E41" s="2" t="n">
        <v>6</v>
      </c>
      <c r="F41" s="2" t="inlineStr">
        <is>
          <t>LghSch_Costant</t>
        </is>
      </c>
      <c r="G41" s="2" t="n">
        <v>0</v>
      </c>
      <c r="H41" s="2" t="n">
        <v>2</v>
      </c>
      <c r="I41" s="2" t="inlineStr">
        <is>
          <t>EqpSch_Costant</t>
        </is>
      </c>
      <c r="J41" s="2" t="n">
        <v>0.007</v>
      </c>
      <c r="K41" s="2">
        <f>IF(J41="","",J41*1000)</f>
        <v/>
      </c>
      <c r="L41" s="2" t="n">
        <v>0.00536624</v>
      </c>
      <c r="M41" s="2">
        <f>IF(L41="","",L41*1000)</f>
        <v/>
      </c>
      <c r="N41" s="2" t="inlineStr">
        <is>
          <t>Maximum</t>
        </is>
      </c>
      <c r="O41" s="2" t="inlineStr">
        <is>
          <t>VntSch_AHU</t>
        </is>
      </c>
      <c r="P41" s="2" t="inlineStr">
        <is>
          <t>HtnSch_AHU</t>
        </is>
      </c>
      <c r="Q41" s="2" t="inlineStr">
        <is>
          <t>ClnSch_AHU</t>
        </is>
      </c>
      <c r="R41" s="2" t="n">
        <v>70</v>
      </c>
      <c r="S41" s="2" t="n">
        <v>40</v>
      </c>
      <c r="T41" s="2" t="inlineStr">
        <is>
          <t>Generic room Heating</t>
        </is>
      </c>
      <c r="U41" s="2" t="inlineStr">
        <is>
          <t>Generic room Cooling</t>
        </is>
      </c>
      <c r="V41" s="2" t="n">
        <v>0.0001</v>
      </c>
      <c r="W41" s="2" t="n">
        <v>14</v>
      </c>
      <c r="X41" s="2" t="n">
        <v>1</v>
      </c>
    </row>
    <row r="42">
      <c r="A42" s="2" t="inlineStr">
        <is>
          <t>B09</t>
        </is>
      </c>
      <c r="B42" s="2" t="inlineStr">
        <is>
          <t>zone26</t>
        </is>
      </c>
      <c r="C42" s="2" t="n">
        <v>0.6</v>
      </c>
      <c r="D42" s="2" t="inlineStr">
        <is>
          <t>OccSch_B0.1</t>
        </is>
      </c>
      <c r="E42" s="2" t="n">
        <v>6</v>
      </c>
      <c r="F42" s="2" t="inlineStr">
        <is>
          <t>LghSch_Costant</t>
        </is>
      </c>
      <c r="G42" s="2" t="n">
        <v>0</v>
      </c>
      <c r="H42" s="2" t="n">
        <v>2</v>
      </c>
      <c r="I42" s="2" t="inlineStr">
        <is>
          <t>EqpSch_Costant</t>
        </is>
      </c>
      <c r="J42" s="2" t="n">
        <v>0.007</v>
      </c>
      <c r="K42" s="2">
        <f>IF(J42="","",J42*1000)</f>
        <v/>
      </c>
      <c r="L42" s="2" t="n">
        <v>0.00427427</v>
      </c>
      <c r="M42" s="2">
        <f>IF(L42="","",L42*1000)</f>
        <v/>
      </c>
      <c r="N42" s="2" t="inlineStr">
        <is>
          <t>Maximum</t>
        </is>
      </c>
      <c r="O42" s="2" t="inlineStr">
        <is>
          <t>VntSch_AHU</t>
        </is>
      </c>
      <c r="P42" s="2" t="inlineStr">
        <is>
          <t>HtnSch_AHU</t>
        </is>
      </c>
      <c r="Q42" s="2" t="inlineStr">
        <is>
          <t>ClnSch_AHU</t>
        </is>
      </c>
      <c r="R42" s="2" t="n">
        <v>70</v>
      </c>
      <c r="S42" s="2" t="n">
        <v>40</v>
      </c>
      <c r="T42" s="2" t="inlineStr">
        <is>
          <t>Generic room Heating</t>
        </is>
      </c>
      <c r="U42" s="2" t="inlineStr">
        <is>
          <t>Generic room Cooling</t>
        </is>
      </c>
      <c r="V42" s="2" t="n">
        <v>0.0001</v>
      </c>
      <c r="W42" s="2" t="n">
        <v>14</v>
      </c>
      <c r="X42" s="2" t="n">
        <v>1</v>
      </c>
    </row>
    <row r="43">
      <c r="A43" s="2" t="inlineStr">
        <is>
          <t>B09</t>
        </is>
      </c>
      <c r="B43" s="2" t="inlineStr">
        <is>
          <t>zone27</t>
        </is>
      </c>
      <c r="C43" s="2" t="n">
        <v>0.6</v>
      </c>
      <c r="D43" s="2" t="inlineStr">
        <is>
          <t>OccSch_B0.7</t>
        </is>
      </c>
      <c r="E43" s="2" t="n">
        <v>6</v>
      </c>
      <c r="F43" s="2" t="inlineStr">
        <is>
          <t>LghSch_Costant</t>
        </is>
      </c>
      <c r="G43" s="2" t="n">
        <v>0</v>
      </c>
      <c r="H43" s="2" t="n">
        <v>2</v>
      </c>
      <c r="I43" s="2" t="inlineStr">
        <is>
          <t>EqpSch_Costant</t>
        </is>
      </c>
      <c r="J43" s="2" t="n">
        <v>0.007</v>
      </c>
      <c r="K43" s="2">
        <f>IF(J43="","",J43*1000)</f>
        <v/>
      </c>
      <c r="L43" s="2" t="n">
        <v>0.00580349</v>
      </c>
      <c r="M43" s="2">
        <f>IF(L43="","",L43*1000)</f>
        <v/>
      </c>
      <c r="N43" s="2" t="inlineStr">
        <is>
          <t>Maximum</t>
        </is>
      </c>
      <c r="O43" s="2" t="inlineStr">
        <is>
          <t>VntSch_AHU</t>
        </is>
      </c>
      <c r="P43" s="2" t="inlineStr">
        <is>
          <t>HtnSch_AHU</t>
        </is>
      </c>
      <c r="Q43" s="2" t="inlineStr">
        <is>
          <t>ClnSch_AHU</t>
        </is>
      </c>
      <c r="R43" s="2" t="n">
        <v>70</v>
      </c>
      <c r="S43" s="2" t="n">
        <v>40</v>
      </c>
      <c r="T43" s="2" t="inlineStr">
        <is>
          <t>Generic room Heating</t>
        </is>
      </c>
      <c r="U43" s="2" t="inlineStr">
        <is>
          <t>Generic room Cooling</t>
        </is>
      </c>
      <c r="V43" s="2" t="n">
        <v>0.0001</v>
      </c>
      <c r="W43" s="2" t="n">
        <v>14</v>
      </c>
      <c r="X43" s="2" t="n">
        <v>1</v>
      </c>
    </row>
    <row r="44">
      <c r="A44" s="2" t="inlineStr">
        <is>
          <t>B09</t>
        </is>
      </c>
      <c r="B44" s="2" t="inlineStr">
        <is>
          <t>zone28</t>
        </is>
      </c>
      <c r="C44" s="2" t="n">
        <v>0.6</v>
      </c>
      <c r="D44" s="2" t="inlineStr">
        <is>
          <t>OccSch_B0.6</t>
        </is>
      </c>
      <c r="E44" s="2" t="n">
        <v>6</v>
      </c>
      <c r="F44" s="2" t="inlineStr">
        <is>
          <t>LghSch_Costant</t>
        </is>
      </c>
      <c r="G44" s="2" t="n">
        <v>0</v>
      </c>
      <c r="H44" s="2" t="n">
        <v>2</v>
      </c>
      <c r="I44" s="2" t="inlineStr">
        <is>
          <t>EqpSch_Costant</t>
        </is>
      </c>
      <c r="J44" s="2" t="n">
        <v>0.007</v>
      </c>
      <c r="K44" s="2">
        <f>IF(J44="","",J44*1000)</f>
        <v/>
      </c>
      <c r="L44" s="2" t="n">
        <v>0.00548097</v>
      </c>
      <c r="M44" s="2">
        <f>IF(L44="","",L44*1000)</f>
        <v/>
      </c>
      <c r="N44" s="2" t="inlineStr">
        <is>
          <t>Maximum</t>
        </is>
      </c>
      <c r="O44" s="2" t="inlineStr">
        <is>
          <t>VntSch_AHU</t>
        </is>
      </c>
      <c r="P44" s="2" t="inlineStr">
        <is>
          <t>HtnSch_AHU</t>
        </is>
      </c>
      <c r="Q44" s="2" t="inlineStr">
        <is>
          <t>ClnSch_AHU</t>
        </is>
      </c>
      <c r="R44" s="2" t="n">
        <v>70</v>
      </c>
      <c r="S44" s="2" t="n">
        <v>40</v>
      </c>
      <c r="T44" s="2" t="inlineStr">
        <is>
          <t>Generic room Heating</t>
        </is>
      </c>
      <c r="U44" s="2" t="inlineStr">
        <is>
          <t>Generic room Cooling</t>
        </is>
      </c>
      <c r="V44" s="2" t="n">
        <v>0.0001</v>
      </c>
      <c r="W44" s="2" t="n">
        <v>11</v>
      </c>
      <c r="X44" s="2" t="n">
        <v>1</v>
      </c>
    </row>
    <row r="45">
      <c r="A45" s="2" t="inlineStr">
        <is>
          <t>B09</t>
        </is>
      </c>
      <c r="B45" s="2" t="inlineStr">
        <is>
          <t>zone29</t>
        </is>
      </c>
      <c r="C45" s="2" t="n">
        <v>0</v>
      </c>
      <c r="D45" s="2" t="inlineStr">
        <is>
          <t>OccSch_Unoccupied</t>
        </is>
      </c>
      <c r="E45" s="2" t="n">
        <v>6</v>
      </c>
      <c r="F45" s="2" t="inlineStr">
        <is>
          <t>LghSch_Costant</t>
        </is>
      </c>
      <c r="G45" s="2" t="n">
        <v>0</v>
      </c>
      <c r="H45" s="2" t="n">
        <v>2</v>
      </c>
      <c r="I45" s="2" t="inlineStr">
        <is>
          <t>EqpSch_Costant</t>
        </is>
      </c>
      <c r="J45" s="2" t="n">
        <v>0</v>
      </c>
      <c r="K45" s="2">
        <f>IF(J45="","",J45*1000)</f>
        <v/>
      </c>
      <c r="L45" s="2" t="n">
        <v>0</v>
      </c>
      <c r="M45" s="2">
        <f>IF(L45="","",L45*1000)</f>
        <v/>
      </c>
      <c r="N45" s="2" t="inlineStr">
        <is>
          <t>Maximum</t>
        </is>
      </c>
      <c r="O45" s="2" t="inlineStr">
        <is>
          <t>VntSch_AHU</t>
        </is>
      </c>
      <c r="P45" s="2" t="inlineStr">
        <is>
          <t>HtnSch_AHU</t>
        </is>
      </c>
      <c r="Q45" s="2" t="inlineStr">
        <is>
          <t>ClnSch_AHU</t>
        </is>
      </c>
      <c r="R45" s="2" t="n">
        <v>70</v>
      </c>
      <c r="S45" s="2" t="n">
        <v>40</v>
      </c>
      <c r="T45" s="2" t="inlineStr">
        <is>
          <t>Generic room Heating</t>
        </is>
      </c>
      <c r="U45" s="2" t="inlineStr">
        <is>
          <t>Generic room Cooling</t>
        </is>
      </c>
      <c r="V45" s="2" t="n">
        <v>0.0001</v>
      </c>
      <c r="W45" s="2" t="n">
        <v>6</v>
      </c>
      <c r="X45" s="2" t="n">
        <v>0</v>
      </c>
    </row>
    <row r="46">
      <c r="A46" s="2" t="inlineStr">
        <is>
          <t>B09</t>
        </is>
      </c>
      <c r="B46" s="2" t="inlineStr">
        <is>
          <t>zone30</t>
        </is>
      </c>
      <c r="C46" s="2" t="n">
        <v>0.6</v>
      </c>
      <c r="D46" s="2" t="inlineStr">
        <is>
          <t>OccSch_Unoccupied</t>
        </is>
      </c>
      <c r="E46" s="2" t="n">
        <v>6</v>
      </c>
      <c r="F46" s="2" t="inlineStr">
        <is>
          <t>LghSch_Costant</t>
        </is>
      </c>
      <c r="G46" s="2" t="n">
        <v>0</v>
      </c>
      <c r="H46" s="2" t="n">
        <v>2</v>
      </c>
      <c r="I46" s="2" t="inlineStr">
        <is>
          <t>EqpSch_Costant</t>
        </is>
      </c>
      <c r="J46" s="2" t="n">
        <v>0.007</v>
      </c>
      <c r="K46" s="2">
        <f>IF(J46="","",J46*1000)</f>
        <v/>
      </c>
      <c r="L46" s="2" t="n">
        <v>0.00212077</v>
      </c>
      <c r="M46" s="2">
        <f>IF(L46="","",L46*1000)</f>
        <v/>
      </c>
      <c r="N46" s="2" t="inlineStr">
        <is>
          <t>Maximum</t>
        </is>
      </c>
      <c r="O46" s="2" t="inlineStr">
        <is>
          <t>VntSch_AHU</t>
        </is>
      </c>
      <c r="P46" s="2" t="inlineStr">
        <is>
          <t>HtnSch_AHU</t>
        </is>
      </c>
      <c r="Q46" s="2" t="inlineStr">
        <is>
          <t>ClnSch_AHU</t>
        </is>
      </c>
      <c r="R46" s="2" t="n">
        <v>70</v>
      </c>
      <c r="S46" s="2" t="n">
        <v>40</v>
      </c>
      <c r="T46" s="2" t="inlineStr">
        <is>
          <t>Generic room Heating</t>
        </is>
      </c>
      <c r="U46" s="2" t="inlineStr">
        <is>
          <t>Generic room Cooling</t>
        </is>
      </c>
      <c r="V46" s="2" t="n">
        <v>0.0001</v>
      </c>
      <c r="W46" s="2" t="n">
        <v>10</v>
      </c>
      <c r="X46" s="2" t="n">
        <v>1</v>
      </c>
    </row>
    <row r="47">
      <c r="A47" s="2" t="inlineStr">
        <is>
          <t>B09</t>
        </is>
      </c>
      <c r="B47" s="2" t="inlineStr">
        <is>
          <t>zone31</t>
        </is>
      </c>
      <c r="C47" s="2" t="n">
        <v>0.6</v>
      </c>
      <c r="D47" s="2" t="inlineStr">
        <is>
          <t>OccSch_B0.5</t>
        </is>
      </c>
      <c r="E47" s="2" t="n">
        <v>6</v>
      </c>
      <c r="F47" s="2" t="inlineStr">
        <is>
          <t>LghSch_Costant</t>
        </is>
      </c>
      <c r="G47" s="2" t="n">
        <v>0</v>
      </c>
      <c r="H47" s="2" t="n">
        <v>2</v>
      </c>
      <c r="I47" s="2" t="inlineStr">
        <is>
          <t>EqpSch_Costant</t>
        </is>
      </c>
      <c r="J47" s="2" t="n">
        <v>0.007</v>
      </c>
      <c r="K47" s="2">
        <f>IF(J47="","",J47*1000)</f>
        <v/>
      </c>
      <c r="L47" s="2" t="n">
        <v>0.00367411</v>
      </c>
      <c r="M47" s="2">
        <f>IF(L47="","",L47*1000)</f>
        <v/>
      </c>
      <c r="N47" s="2" t="inlineStr">
        <is>
          <t>Maximum</t>
        </is>
      </c>
      <c r="O47" s="2" t="inlineStr">
        <is>
          <t>VntSch_AHU</t>
        </is>
      </c>
      <c r="P47" s="2" t="inlineStr">
        <is>
          <t>HtnSch_AHU</t>
        </is>
      </c>
      <c r="Q47" s="2" t="inlineStr">
        <is>
          <t>ClnSch_AHU</t>
        </is>
      </c>
      <c r="R47" s="2" t="n">
        <v>70</v>
      </c>
      <c r="S47" s="2" t="n">
        <v>40</v>
      </c>
      <c r="T47" s="2" t="inlineStr">
        <is>
          <t>Generic room Heating</t>
        </is>
      </c>
      <c r="U47" s="2" t="inlineStr">
        <is>
          <t>Generic room Cooling</t>
        </is>
      </c>
      <c r="V47" s="2" t="n">
        <v>0.0001</v>
      </c>
      <c r="W47" s="2" t="n">
        <v>13</v>
      </c>
      <c r="X47" s="2" t="n">
        <v>1</v>
      </c>
    </row>
    <row r="48">
      <c r="A48" s="2" t="inlineStr">
        <is>
          <t>B09</t>
        </is>
      </c>
      <c r="B48" s="2" t="inlineStr">
        <is>
          <t>zone32</t>
        </is>
      </c>
      <c r="C48" s="2" t="n">
        <v>0.6</v>
      </c>
      <c r="D48" s="2" t="inlineStr">
        <is>
          <t>OccSch_B1.3</t>
        </is>
      </c>
      <c r="E48" s="2" t="n">
        <v>6</v>
      </c>
      <c r="F48" s="2" t="inlineStr">
        <is>
          <t>LghSch_Costant</t>
        </is>
      </c>
      <c r="G48" s="2" t="n">
        <v>0</v>
      </c>
      <c r="H48" s="2" t="n">
        <v>2</v>
      </c>
      <c r="I48" s="2" t="inlineStr">
        <is>
          <t>EqpSch_Costant</t>
        </is>
      </c>
      <c r="J48" s="2" t="n">
        <v>0.007</v>
      </c>
      <c r="K48" s="2">
        <f>IF(J48="","",J48*1000)</f>
        <v/>
      </c>
      <c r="L48" s="2" t="n">
        <v>0.00293843</v>
      </c>
      <c r="M48" s="2">
        <f>IF(L48="","",L48*1000)</f>
        <v/>
      </c>
      <c r="N48" s="2" t="inlineStr">
        <is>
          <t>Maximum</t>
        </is>
      </c>
      <c r="O48" s="2" t="inlineStr">
        <is>
          <t>VntSch_AHU</t>
        </is>
      </c>
      <c r="P48" s="2" t="inlineStr">
        <is>
          <t>HtnSch_AHU</t>
        </is>
      </c>
      <c r="Q48" s="2" t="inlineStr">
        <is>
          <t>ClnSch_AHU</t>
        </is>
      </c>
      <c r="R48" s="2" t="n">
        <v>70</v>
      </c>
      <c r="S48" s="2" t="n">
        <v>40</v>
      </c>
      <c r="T48" s="2" t="inlineStr">
        <is>
          <t>Generic room Heating</t>
        </is>
      </c>
      <c r="U48" s="2" t="inlineStr">
        <is>
          <t>Generic room Cooling</t>
        </is>
      </c>
      <c r="V48" s="2" t="n">
        <v>0.0001</v>
      </c>
      <c r="W48" s="2" t="n">
        <v>26</v>
      </c>
      <c r="X48" s="2" t="n">
        <v>3</v>
      </c>
    </row>
    <row r="49">
      <c r="A49" s="2" t="inlineStr">
        <is>
          <t>B09</t>
        </is>
      </c>
      <c r="B49" s="2" t="inlineStr">
        <is>
          <t>zone33</t>
        </is>
      </c>
      <c r="C49" s="2" t="n">
        <v>0.6</v>
      </c>
      <c r="D49" s="2" t="inlineStr">
        <is>
          <t>OccSch_B0.4</t>
        </is>
      </c>
      <c r="E49" s="2" t="n">
        <v>6</v>
      </c>
      <c r="F49" s="2" t="inlineStr">
        <is>
          <t>LghSch_Costant</t>
        </is>
      </c>
      <c r="G49" s="2" t="n">
        <v>0</v>
      </c>
      <c r="H49" s="2" t="n">
        <v>2</v>
      </c>
      <c r="I49" s="2" t="inlineStr">
        <is>
          <t>EqpSch_Costant</t>
        </is>
      </c>
      <c r="J49" s="2" t="n">
        <v>0.007</v>
      </c>
      <c r="K49" s="2">
        <f>IF(J49="","",J49*1000)</f>
        <v/>
      </c>
      <c r="L49" s="2" t="n">
        <v>0.00450583</v>
      </c>
      <c r="M49" s="2">
        <f>IF(L49="","",L49*1000)</f>
        <v/>
      </c>
      <c r="N49" s="2" t="inlineStr">
        <is>
          <t>Maximum</t>
        </is>
      </c>
      <c r="O49" s="2" t="inlineStr">
        <is>
          <t>VntSch_AHU</t>
        </is>
      </c>
      <c r="P49" s="2" t="inlineStr">
        <is>
          <t>HtnSch_AHU</t>
        </is>
      </c>
      <c r="Q49" s="2" t="inlineStr">
        <is>
          <t>ClnSch_AHU</t>
        </is>
      </c>
      <c r="R49" s="2" t="n">
        <v>70</v>
      </c>
      <c r="S49" s="2" t="n">
        <v>40</v>
      </c>
      <c r="T49" s="2" t="inlineStr">
        <is>
          <t>Generic room Heating</t>
        </is>
      </c>
      <c r="U49" s="2" t="inlineStr">
        <is>
          <t>Generic room Cooling</t>
        </is>
      </c>
      <c r="V49" s="2" t="n">
        <v>0.0001</v>
      </c>
      <c r="W49" s="2" t="n">
        <v>19</v>
      </c>
      <c r="X49" s="2" t="n">
        <v>1</v>
      </c>
    </row>
    <row r="50">
      <c r="A50" s="2" t="inlineStr">
        <is>
          <t>B09</t>
        </is>
      </c>
      <c r="B50" s="2" t="inlineStr">
        <is>
          <t>zone34</t>
        </is>
      </c>
      <c r="C50" s="2" t="n">
        <v>0.6</v>
      </c>
      <c r="D50" s="2" t="inlineStr">
        <is>
          <t>OccSch_B0.3</t>
        </is>
      </c>
      <c r="E50" s="2" t="n">
        <v>6</v>
      </c>
      <c r="F50" s="2" t="inlineStr">
        <is>
          <t>LghSch_Costant</t>
        </is>
      </c>
      <c r="G50" s="2" t="n">
        <v>0</v>
      </c>
      <c r="H50" s="2" t="n">
        <v>2</v>
      </c>
      <c r="I50" s="2" t="inlineStr">
        <is>
          <t>EqpSch_Costant</t>
        </is>
      </c>
      <c r="J50" s="2" t="n">
        <v>0.007</v>
      </c>
      <c r="K50" s="2">
        <f>IF(J50="","",J50*1000)</f>
        <v/>
      </c>
      <c r="L50" s="2" t="n">
        <v>0.00536624</v>
      </c>
      <c r="M50" s="2">
        <f>IF(L50="","",L50*1000)</f>
        <v/>
      </c>
      <c r="N50" s="2" t="inlineStr">
        <is>
          <t>Maximum</t>
        </is>
      </c>
      <c r="O50" s="2" t="inlineStr">
        <is>
          <t>VntSch_AHU</t>
        </is>
      </c>
      <c r="P50" s="2" t="inlineStr">
        <is>
          <t>HtnSch_AHU</t>
        </is>
      </c>
      <c r="Q50" s="2" t="inlineStr">
        <is>
          <t>ClnSch_AHU</t>
        </is>
      </c>
      <c r="R50" s="2" t="n">
        <v>70</v>
      </c>
      <c r="S50" s="2" t="n">
        <v>40</v>
      </c>
      <c r="T50" s="2" t="inlineStr">
        <is>
          <t>Generic room Heating</t>
        </is>
      </c>
      <c r="U50" s="2" t="inlineStr">
        <is>
          <t>Generic room Cooling</t>
        </is>
      </c>
      <c r="V50" s="2" t="n">
        <v>0.0001</v>
      </c>
      <c r="W50" s="2" t="n">
        <v>17</v>
      </c>
      <c r="X50" s="2" t="n">
        <v>1</v>
      </c>
    </row>
    <row r="51">
      <c r="A51" s="2" t="inlineStr">
        <is>
          <t>B09</t>
        </is>
      </c>
      <c r="B51" s="2" t="inlineStr">
        <is>
          <t>zone35</t>
        </is>
      </c>
      <c r="C51" s="2" t="n">
        <v>0.6</v>
      </c>
      <c r="D51" s="2" t="inlineStr">
        <is>
          <t>OccSch_B0.2</t>
        </is>
      </c>
      <c r="E51" s="2" t="n">
        <v>6</v>
      </c>
      <c r="F51" s="2" t="inlineStr">
        <is>
          <t>LghSch_Costant</t>
        </is>
      </c>
      <c r="G51" s="2" t="n">
        <v>0</v>
      </c>
      <c r="H51" s="2" t="n">
        <v>2</v>
      </c>
      <c r="I51" s="2" t="inlineStr">
        <is>
          <t>EqpSch_Costant</t>
        </is>
      </c>
      <c r="J51" s="2" t="n">
        <v>0.007</v>
      </c>
      <c r="K51" s="2">
        <f>IF(J51="","",J51*1000)</f>
        <v/>
      </c>
      <c r="L51" s="2" t="n">
        <v>0.00434015</v>
      </c>
      <c r="M51" s="2">
        <f>IF(L51="","",L51*1000)</f>
        <v/>
      </c>
      <c r="N51" s="2" t="inlineStr">
        <is>
          <t>Maximum</t>
        </is>
      </c>
      <c r="O51" s="2" t="inlineStr">
        <is>
          <t>VntSch_AHU</t>
        </is>
      </c>
      <c r="P51" s="2" t="inlineStr">
        <is>
          <t>HtnSch_AHU</t>
        </is>
      </c>
      <c r="Q51" s="2" t="inlineStr">
        <is>
          <t>ClnSch_AHU</t>
        </is>
      </c>
      <c r="R51" s="2" t="n">
        <v>70</v>
      </c>
      <c r="S51" s="2" t="n">
        <v>40</v>
      </c>
      <c r="T51" s="2" t="inlineStr">
        <is>
          <t>Generic room Heating</t>
        </is>
      </c>
      <c r="U51" s="2" t="inlineStr">
        <is>
          <t>Generic room Cooling</t>
        </is>
      </c>
      <c r="V51" s="2" t="n">
        <v>0.0001</v>
      </c>
      <c r="W51" s="2" t="n">
        <v>13</v>
      </c>
      <c r="X51" s="2" t="n">
        <v>1</v>
      </c>
    </row>
    <row r="52">
      <c r="A52" s="2" t="inlineStr">
        <is>
          <t>B09</t>
        </is>
      </c>
      <c r="B52" s="2" t="inlineStr">
        <is>
          <t>zone36</t>
        </is>
      </c>
      <c r="C52" s="2" t="n">
        <v>0.3</v>
      </c>
      <c r="D52" s="2" t="inlineStr">
        <is>
          <t>OccSch_Unoccupied</t>
        </is>
      </c>
      <c r="E52" s="2" t="n">
        <v>6</v>
      </c>
      <c r="F52" s="2" t="inlineStr">
        <is>
          <t>LghSch_Costant</t>
        </is>
      </c>
      <c r="G52" s="2" t="n">
        <v>0</v>
      </c>
      <c r="H52" s="2" t="n">
        <v>2</v>
      </c>
      <c r="I52" s="2" t="inlineStr">
        <is>
          <t>EqpSch_Costant</t>
        </is>
      </c>
      <c r="J52" s="2" t="n">
        <v>0.007</v>
      </c>
      <c r="K52" s="2">
        <f>IF(J52="","",J52*1000)</f>
        <v/>
      </c>
      <c r="L52" s="2" t="n">
        <v>0.00180182</v>
      </c>
      <c r="M52" s="2">
        <f>IF(L52="","",L52*1000)</f>
        <v/>
      </c>
      <c r="N52" s="2" t="inlineStr">
        <is>
          <t>Maximum</t>
        </is>
      </c>
      <c r="O52" s="2" t="inlineStr">
        <is>
          <t>VntSch_AHU</t>
        </is>
      </c>
      <c r="P52" s="2" t="inlineStr">
        <is>
          <t>HtnSch_AHU</t>
        </is>
      </c>
      <c r="Q52" s="2" t="inlineStr">
        <is>
          <t>ClnSch_AHU</t>
        </is>
      </c>
      <c r="R52" s="2" t="n">
        <v>70</v>
      </c>
      <c r="S52" s="2" t="n">
        <v>40</v>
      </c>
      <c r="T52" s="2" t="inlineStr">
        <is>
          <t>Generic room Heating</t>
        </is>
      </c>
      <c r="U52" s="2" t="inlineStr">
        <is>
          <t>Generic room Cooling</t>
        </is>
      </c>
      <c r="V52" s="2" t="n">
        <v>0.0001</v>
      </c>
      <c r="W52" s="2" t="n">
        <v>21</v>
      </c>
      <c r="X52" s="2" t="n">
        <v>0</v>
      </c>
    </row>
    <row r="53">
      <c r="A53" s="2" t="inlineStr">
        <is>
          <t>B09</t>
        </is>
      </c>
      <c r="B53" s="2" t="inlineStr">
        <is>
          <t>zone37</t>
        </is>
      </c>
      <c r="C53" s="2" t="n">
        <v>0.3</v>
      </c>
      <c r="D53" s="2" t="inlineStr">
        <is>
          <t>OccSch_Unoccupied</t>
        </is>
      </c>
      <c r="E53" s="2" t="n">
        <v>6</v>
      </c>
      <c r="F53" s="2" t="inlineStr">
        <is>
          <t>LghSch_Costant</t>
        </is>
      </c>
      <c r="G53" s="2" t="n">
        <v>0</v>
      </c>
      <c r="H53" s="2" t="n">
        <v>2</v>
      </c>
      <c r="I53" s="2" t="inlineStr">
        <is>
          <t>EqpSch_Costant</t>
        </is>
      </c>
      <c r="J53" s="2" t="n">
        <v>0.007</v>
      </c>
      <c r="K53" s="2">
        <f>IF(J53="","",J53*1000)</f>
        <v/>
      </c>
      <c r="L53" s="2" t="n">
        <v>0.00183288</v>
      </c>
      <c r="M53" s="2">
        <f>IF(L53="","",L53*1000)</f>
        <v/>
      </c>
      <c r="N53" s="2" t="inlineStr">
        <is>
          <t>Maximum</t>
        </is>
      </c>
      <c r="O53" s="2" t="inlineStr">
        <is>
          <t>VntSch_AHU</t>
        </is>
      </c>
      <c r="P53" s="2" t="inlineStr">
        <is>
          <t>HtnSch_AHU</t>
        </is>
      </c>
      <c r="Q53" s="2" t="inlineStr">
        <is>
          <t>ClnSch_AHU</t>
        </is>
      </c>
      <c r="R53" s="2" t="n">
        <v>70</v>
      </c>
      <c r="S53" s="2" t="n">
        <v>40</v>
      </c>
      <c r="T53" s="2" t="inlineStr">
        <is>
          <t>Generic room Heating</t>
        </is>
      </c>
      <c r="U53" s="2" t="inlineStr">
        <is>
          <t>Generic room Cooling</t>
        </is>
      </c>
      <c r="V53" s="2" t="n">
        <v>0.0001</v>
      </c>
      <c r="W53" s="2" t="n">
        <v>11</v>
      </c>
      <c r="X53" s="2" t="n">
        <v>0</v>
      </c>
    </row>
    <row r="54">
      <c r="A54" s="2" t="inlineStr">
        <is>
          <t>B09</t>
        </is>
      </c>
      <c r="B54" s="2" t="inlineStr">
        <is>
          <t>zone38</t>
        </is>
      </c>
      <c r="C54" s="2" t="n">
        <v>0.3</v>
      </c>
      <c r="D54" s="2" t="inlineStr">
        <is>
          <t>OccSch_Unoccupied</t>
        </is>
      </c>
      <c r="E54" s="2" t="n">
        <v>6</v>
      </c>
      <c r="F54" s="2" t="inlineStr">
        <is>
          <t>LghSch_Costant</t>
        </is>
      </c>
      <c r="G54" s="2" t="n">
        <v>0</v>
      </c>
      <c r="H54" s="2" t="n">
        <v>2</v>
      </c>
      <c r="I54" s="2" t="inlineStr">
        <is>
          <t>EqpSch_Costant</t>
        </is>
      </c>
      <c r="J54" s="2" t="n">
        <v>0.007</v>
      </c>
      <c r="K54" s="2">
        <f>IF(J54="","",J54*1000)</f>
        <v/>
      </c>
      <c r="L54" s="2" t="n">
        <v>0.00171607</v>
      </c>
      <c r="M54" s="2">
        <f>IF(L54="","",L54*1000)</f>
        <v/>
      </c>
      <c r="N54" s="2" t="inlineStr">
        <is>
          <t>Maximum</t>
        </is>
      </c>
      <c r="O54" s="2" t="inlineStr">
        <is>
          <t>VntSch_AHU</t>
        </is>
      </c>
      <c r="P54" s="2" t="inlineStr">
        <is>
          <t>HtnSch_AHU</t>
        </is>
      </c>
      <c r="Q54" s="2" t="inlineStr">
        <is>
          <t>ClnSch_AHU</t>
        </is>
      </c>
      <c r="R54" s="2" t="n">
        <v>70</v>
      </c>
      <c r="S54" s="2" t="n">
        <v>40</v>
      </c>
      <c r="T54" s="2" t="inlineStr">
        <is>
          <t>Generic room Heating</t>
        </is>
      </c>
      <c r="U54" s="2" t="inlineStr">
        <is>
          <t>Generic room Cooling</t>
        </is>
      </c>
      <c r="V54" s="2" t="n">
        <v>0.0001</v>
      </c>
      <c r="W54" s="2" t="n">
        <v>11</v>
      </c>
      <c r="X54" s="2" t="n">
        <v>0</v>
      </c>
    </row>
    <row r="55">
      <c r="A55" s="2" t="inlineStr">
        <is>
          <t>B09</t>
        </is>
      </c>
      <c r="B55" s="2" t="inlineStr">
        <is>
          <t>zone39</t>
        </is>
      </c>
      <c r="C55" s="2" t="n">
        <v>0.3</v>
      </c>
      <c r="D55" s="2" t="inlineStr">
        <is>
          <t>OccSch_Unoccupied</t>
        </is>
      </c>
      <c r="E55" s="2" t="n">
        <v>6</v>
      </c>
      <c r="F55" s="2" t="inlineStr">
        <is>
          <t>LghSch_Costant</t>
        </is>
      </c>
      <c r="G55" s="2" t="n">
        <v>0</v>
      </c>
      <c r="H55" s="2" t="n">
        <v>2</v>
      </c>
      <c r="I55" s="2" t="inlineStr">
        <is>
          <t>EqpSch_Costant</t>
        </is>
      </c>
      <c r="J55" s="2" t="n">
        <v>0.007</v>
      </c>
      <c r="K55" s="2">
        <f>IF(J55="","",J55*1000)</f>
        <v/>
      </c>
      <c r="L55" s="2" t="n">
        <v>0.00176685</v>
      </c>
      <c r="M55" s="2">
        <f>IF(L55="","",L55*1000)</f>
        <v/>
      </c>
      <c r="N55" s="2" t="inlineStr">
        <is>
          <t>Maximum</t>
        </is>
      </c>
      <c r="O55" s="2" t="inlineStr">
        <is>
          <t>VntSch_AHU</t>
        </is>
      </c>
      <c r="P55" s="2" t="inlineStr">
        <is>
          <t>HtnSch_AHU</t>
        </is>
      </c>
      <c r="Q55" s="2" t="inlineStr">
        <is>
          <t>ClnSch_AHU</t>
        </is>
      </c>
      <c r="R55" s="2" t="n">
        <v>70</v>
      </c>
      <c r="S55" s="2" t="n">
        <v>40</v>
      </c>
      <c r="T55" s="2" t="inlineStr">
        <is>
          <t>Generic room Heating</t>
        </is>
      </c>
      <c r="U55" s="2" t="inlineStr">
        <is>
          <t>Generic room Cooling</t>
        </is>
      </c>
      <c r="V55" s="2" t="n">
        <v>0.0001</v>
      </c>
      <c r="W55" s="2" t="n">
        <v>22</v>
      </c>
      <c r="X55" s="2" t="n">
        <v>0</v>
      </c>
    </row>
    <row r="56">
      <c r="A56" s="2" t="inlineStr">
        <is>
          <t>B09</t>
        </is>
      </c>
      <c r="B56" s="2" t="inlineStr">
        <is>
          <t>zone40</t>
        </is>
      </c>
      <c r="C56" s="2" t="n">
        <v>0.3</v>
      </c>
      <c r="D56" s="2" t="inlineStr">
        <is>
          <t>OccSch_Unoccupied</t>
        </is>
      </c>
      <c r="E56" s="2" t="n">
        <v>6</v>
      </c>
      <c r="F56" s="2" t="inlineStr">
        <is>
          <t>LghSch_Costant</t>
        </is>
      </c>
      <c r="G56" s="2" t="n">
        <v>0</v>
      </c>
      <c r="H56" s="2" t="n">
        <v>2</v>
      </c>
      <c r="I56" s="2" t="inlineStr">
        <is>
          <t>EqpSch_Costant</t>
        </is>
      </c>
      <c r="J56" s="2" t="n">
        <v>0.007</v>
      </c>
      <c r="K56" s="2">
        <f>IF(J56="","",J56*1000)</f>
        <v/>
      </c>
      <c r="L56" s="2" t="n">
        <v>0.00190732</v>
      </c>
      <c r="M56" s="2">
        <f>IF(L56="","",L56*1000)</f>
        <v/>
      </c>
      <c r="N56" s="2" t="inlineStr">
        <is>
          <t>Maximum</t>
        </is>
      </c>
      <c r="O56" s="2" t="inlineStr">
        <is>
          <t>VntSch_AHU</t>
        </is>
      </c>
      <c r="P56" s="2" t="inlineStr">
        <is>
          <t>HtnSch_AHU</t>
        </is>
      </c>
      <c r="Q56" s="2" t="inlineStr">
        <is>
          <t>ClnSch_AHU</t>
        </is>
      </c>
      <c r="R56" s="2" t="n">
        <v>70</v>
      </c>
      <c r="S56" s="2" t="n">
        <v>40</v>
      </c>
      <c r="T56" s="2" t="inlineStr">
        <is>
          <t>Generic room Heating</t>
        </is>
      </c>
      <c r="U56" s="2" t="inlineStr">
        <is>
          <t>Generic room Cooling</t>
        </is>
      </c>
      <c r="V56" s="2" t="n">
        <v>0.0001</v>
      </c>
      <c r="W56" s="2" t="n">
        <v>10</v>
      </c>
      <c r="X56" s="2" t="n">
        <v>0</v>
      </c>
    </row>
    <row r="57">
      <c r="A57" s="2" t="inlineStr">
        <is>
          <t>B09</t>
        </is>
      </c>
      <c r="B57" s="2" t="inlineStr">
        <is>
          <t>zone41</t>
        </is>
      </c>
      <c r="C57" s="2" t="n">
        <v>0.3</v>
      </c>
      <c r="D57" s="2" t="inlineStr">
        <is>
          <t>OccSch_Unoccupied</t>
        </is>
      </c>
      <c r="E57" s="2" t="n">
        <v>6</v>
      </c>
      <c r="F57" s="2" t="inlineStr">
        <is>
          <t>LghSch_Costant</t>
        </is>
      </c>
      <c r="G57" s="2" t="n">
        <v>0</v>
      </c>
      <c r="H57" s="2" t="n">
        <v>2</v>
      </c>
      <c r="I57" s="2" t="inlineStr">
        <is>
          <t>EqpSch_Costant</t>
        </is>
      </c>
      <c r="J57" s="2" t="n">
        <v>0.007</v>
      </c>
      <c r="K57" s="2">
        <f>IF(J57="","",J57*1000)</f>
        <v/>
      </c>
      <c r="L57" s="2" t="n">
        <v>0.00175423</v>
      </c>
      <c r="M57" s="2">
        <f>IF(L57="","",L57*1000)</f>
        <v/>
      </c>
      <c r="N57" s="2" t="inlineStr">
        <is>
          <t>Maximum</t>
        </is>
      </c>
      <c r="O57" s="2" t="inlineStr">
        <is>
          <t>VntSch_AHU</t>
        </is>
      </c>
      <c r="P57" s="2" t="inlineStr">
        <is>
          <t>HtnSch_AHU</t>
        </is>
      </c>
      <c r="Q57" s="2" t="inlineStr">
        <is>
          <t>ClnSch_AHU</t>
        </is>
      </c>
      <c r="R57" s="2" t="n">
        <v>70</v>
      </c>
      <c r="S57" s="2" t="n">
        <v>40</v>
      </c>
      <c r="T57" s="2" t="inlineStr">
        <is>
          <t>Generic room Heating</t>
        </is>
      </c>
      <c r="U57" s="2" t="inlineStr">
        <is>
          <t>Generic room Cooling</t>
        </is>
      </c>
      <c r="V57" s="2" t="n">
        <v>0.0001</v>
      </c>
      <c r="W57" s="2" t="n">
        <v>17</v>
      </c>
      <c r="X57" s="2" t="n">
        <v>0</v>
      </c>
    </row>
    <row r="58">
      <c r="A58" s="2" t="inlineStr">
        <is>
          <t>B09</t>
        </is>
      </c>
      <c r="B58" s="2" t="inlineStr">
        <is>
          <t>zone42</t>
        </is>
      </c>
      <c r="C58" s="2" t="n">
        <v>0.3</v>
      </c>
      <c r="D58" s="2" t="inlineStr">
        <is>
          <t>OccSch_Unoccupied</t>
        </is>
      </c>
      <c r="E58" s="2" t="n">
        <v>6</v>
      </c>
      <c r="F58" s="2" t="inlineStr">
        <is>
          <t>LghSch_Costant</t>
        </is>
      </c>
      <c r="G58" s="2" t="n">
        <v>0</v>
      </c>
      <c r="H58" s="2" t="n">
        <v>2</v>
      </c>
      <c r="I58" s="2" t="inlineStr">
        <is>
          <t>EqpSch_Costant</t>
        </is>
      </c>
      <c r="J58" s="2" t="n">
        <v>0.007</v>
      </c>
      <c r="K58" s="2">
        <f>IF(J58="","",J58*1000)</f>
        <v/>
      </c>
      <c r="L58" s="2" t="n">
        <v>0.00189123</v>
      </c>
      <c r="M58" s="2">
        <f>IF(L58="","",L58*1000)</f>
        <v/>
      </c>
      <c r="N58" s="2" t="inlineStr">
        <is>
          <t>Maximum</t>
        </is>
      </c>
      <c r="O58" s="2" t="inlineStr">
        <is>
          <t>VntSch_AHU</t>
        </is>
      </c>
      <c r="P58" s="2" t="inlineStr">
        <is>
          <t>HtnSch_AHU</t>
        </is>
      </c>
      <c r="Q58" s="2" t="inlineStr">
        <is>
          <t>ClnSch_AHU</t>
        </is>
      </c>
      <c r="R58" s="2" t="n">
        <v>70</v>
      </c>
      <c r="S58" s="2" t="n">
        <v>40</v>
      </c>
      <c r="T58" s="2" t="inlineStr">
        <is>
          <t>Generic room Heating</t>
        </is>
      </c>
      <c r="U58" s="2" t="inlineStr">
        <is>
          <t>Generic room Cooling</t>
        </is>
      </c>
      <c r="V58" s="2" t="n">
        <v>0.0001</v>
      </c>
      <c r="W58" s="2" t="n">
        <v>27</v>
      </c>
      <c r="X58" s="2" t="n">
        <v>0</v>
      </c>
    </row>
    <row r="59">
      <c r="A59" s="2" t="inlineStr">
        <is>
          <t>B09</t>
        </is>
      </c>
      <c r="B59" s="2" t="inlineStr">
        <is>
          <t>zone43</t>
        </is>
      </c>
      <c r="C59" s="2" t="n">
        <v>0.3</v>
      </c>
      <c r="D59" s="2" t="inlineStr">
        <is>
          <t>OccSch_Unoccupied</t>
        </is>
      </c>
      <c r="E59" s="2" t="n">
        <v>6</v>
      </c>
      <c r="F59" s="2" t="inlineStr">
        <is>
          <t>LghSch_Costant</t>
        </is>
      </c>
      <c r="G59" s="2" t="n">
        <v>0</v>
      </c>
      <c r="H59" s="2" t="n">
        <v>2</v>
      </c>
      <c r="I59" s="2" t="inlineStr">
        <is>
          <t>EqpSch_Costant</t>
        </is>
      </c>
      <c r="J59" s="2" t="n">
        <v>0.007</v>
      </c>
      <c r="K59" s="2">
        <f>IF(J59="","",J59*1000)</f>
        <v/>
      </c>
      <c r="L59" s="2" t="n">
        <v>0.00177692</v>
      </c>
      <c r="M59" s="2">
        <f>IF(L59="","",L59*1000)</f>
        <v/>
      </c>
      <c r="N59" s="2" t="inlineStr">
        <is>
          <t>Maximum</t>
        </is>
      </c>
      <c r="O59" s="2" t="inlineStr">
        <is>
          <t>VntSch_AHU</t>
        </is>
      </c>
      <c r="P59" s="2" t="inlineStr">
        <is>
          <t>HtnSch_AHU</t>
        </is>
      </c>
      <c r="Q59" s="2" t="inlineStr">
        <is>
          <t>ClnSch_AHU</t>
        </is>
      </c>
      <c r="R59" s="2" t="n">
        <v>70</v>
      </c>
      <c r="S59" s="2" t="n">
        <v>40</v>
      </c>
      <c r="T59" s="2" t="inlineStr">
        <is>
          <t>Generic room Heating</t>
        </is>
      </c>
      <c r="U59" s="2" t="inlineStr">
        <is>
          <t>Generic room Cooling</t>
        </is>
      </c>
      <c r="V59" s="2" t="n">
        <v>0.0001</v>
      </c>
      <c r="W59" s="2" t="n">
        <v>14</v>
      </c>
      <c r="X59" s="2" t="n">
        <v>0</v>
      </c>
    </row>
    <row r="60">
      <c r="A60" s="2" t="inlineStr">
        <is>
          <t>B09</t>
        </is>
      </c>
      <c r="B60" s="2" t="inlineStr">
        <is>
          <t>zone44</t>
        </is>
      </c>
      <c r="C60" s="2" t="n">
        <v>0.3</v>
      </c>
      <c r="D60" s="2" t="inlineStr">
        <is>
          <t>OccSch_Unoccupied</t>
        </is>
      </c>
      <c r="E60" s="2" t="n">
        <v>6</v>
      </c>
      <c r="F60" s="2" t="inlineStr">
        <is>
          <t>LghSch_Costant</t>
        </is>
      </c>
      <c r="G60" s="2" t="n">
        <v>0</v>
      </c>
      <c r="H60" s="2" t="n">
        <v>2</v>
      </c>
      <c r="I60" s="2" t="inlineStr">
        <is>
          <t>EqpSch_Costant</t>
        </is>
      </c>
      <c r="J60" s="2" t="n">
        <v>0.007</v>
      </c>
      <c r="K60" s="2">
        <f>IF(J60="","",J60*1000)</f>
        <v/>
      </c>
      <c r="L60" s="2" t="n">
        <v>0.00169952</v>
      </c>
      <c r="M60" s="2">
        <f>IF(L60="","",L60*1000)</f>
        <v/>
      </c>
      <c r="N60" s="2" t="inlineStr">
        <is>
          <t>Maximum</t>
        </is>
      </c>
      <c r="O60" s="2" t="inlineStr">
        <is>
          <t>VntSch_AHU</t>
        </is>
      </c>
      <c r="P60" s="2" t="inlineStr">
        <is>
          <t>HtnSch_AHU</t>
        </is>
      </c>
      <c r="Q60" s="2" t="inlineStr">
        <is>
          <t>ClnSch_AHU</t>
        </is>
      </c>
      <c r="R60" s="2" t="n">
        <v>70</v>
      </c>
      <c r="S60" s="2" t="n">
        <v>40</v>
      </c>
      <c r="T60" s="2" t="inlineStr">
        <is>
          <t>Generic room Heating</t>
        </is>
      </c>
      <c r="U60" s="2" t="inlineStr">
        <is>
          <t>Generic room Cooling</t>
        </is>
      </c>
      <c r="V60" s="2" t="n">
        <v>0.0001</v>
      </c>
      <c r="W60" s="2" t="n">
        <v>15</v>
      </c>
      <c r="X60" s="2" t="n">
        <v>0</v>
      </c>
    </row>
    <row r="61">
      <c r="A61" s="2" t="inlineStr">
        <is>
          <t>B09</t>
        </is>
      </c>
      <c r="B61" s="2" t="inlineStr">
        <is>
          <t>zone45</t>
        </is>
      </c>
      <c r="C61" s="2" t="n">
        <v>0.6</v>
      </c>
      <c r="D61" s="2" t="inlineStr">
        <is>
          <t>OccSch_B1.5</t>
        </is>
      </c>
      <c r="E61" s="2" t="n">
        <v>6</v>
      </c>
      <c r="F61" s="2" t="inlineStr">
        <is>
          <t>LghSch_Costant</t>
        </is>
      </c>
      <c r="G61" s="2" t="n">
        <v>0</v>
      </c>
      <c r="H61" s="2" t="n">
        <v>2</v>
      </c>
      <c r="I61" s="2" t="inlineStr">
        <is>
          <t>EqpSch_Costant</t>
        </is>
      </c>
      <c r="J61" s="2" t="n">
        <v>0.007</v>
      </c>
      <c r="K61" s="2">
        <f>IF(J61="","",J61*1000)</f>
        <v/>
      </c>
      <c r="L61" s="2" t="n">
        <v>0.00367309</v>
      </c>
      <c r="M61" s="2">
        <f>IF(L61="","",L61*1000)</f>
        <v/>
      </c>
      <c r="N61" s="2" t="inlineStr">
        <is>
          <t>Maximum</t>
        </is>
      </c>
      <c r="O61" s="2" t="inlineStr">
        <is>
          <t>VntSch_AHU</t>
        </is>
      </c>
      <c r="P61" s="2" t="inlineStr">
        <is>
          <t>HtnSch_AHU</t>
        </is>
      </c>
      <c r="Q61" s="2" t="inlineStr">
        <is>
          <t>ClnSch_AHU</t>
        </is>
      </c>
      <c r="R61" s="2" t="n">
        <v>70</v>
      </c>
      <c r="S61" s="2" t="n">
        <v>40</v>
      </c>
      <c r="T61" s="2" t="inlineStr">
        <is>
          <t>Generic room Heating</t>
        </is>
      </c>
      <c r="U61" s="2" t="inlineStr">
        <is>
          <t>Generic room Cooling</t>
        </is>
      </c>
      <c r="V61" s="2" t="n">
        <v>0.0001</v>
      </c>
      <c r="W61" s="2" t="n">
        <v>12</v>
      </c>
      <c r="X61" s="2" t="n">
        <v>1</v>
      </c>
    </row>
    <row r="62">
      <c r="A62" s="2" t="inlineStr">
        <is>
          <t>B09</t>
        </is>
      </c>
      <c r="B62" s="2" t="inlineStr">
        <is>
          <t>zone46</t>
        </is>
      </c>
      <c r="C62" s="2" t="n">
        <v>0.6</v>
      </c>
      <c r="D62" s="2" t="inlineStr">
        <is>
          <t>OccSch_B1.4</t>
        </is>
      </c>
      <c r="E62" s="2" t="n">
        <v>6</v>
      </c>
      <c r="F62" s="2" t="inlineStr">
        <is>
          <t>LghSch_Costant</t>
        </is>
      </c>
      <c r="G62" s="2" t="n">
        <v>0</v>
      </c>
      <c r="H62" s="2" t="n">
        <v>2</v>
      </c>
      <c r="I62" s="2" t="inlineStr">
        <is>
          <t>EqpSch_Costant</t>
        </is>
      </c>
      <c r="J62" s="2" t="n">
        <v>0.007</v>
      </c>
      <c r="K62" s="2">
        <f>IF(J62="","",J62*1000)</f>
        <v/>
      </c>
      <c r="L62" s="2" t="n">
        <v>0.00429034</v>
      </c>
      <c r="M62" s="2">
        <f>IF(L62="","",L62*1000)</f>
        <v/>
      </c>
      <c r="N62" s="2" t="inlineStr">
        <is>
          <t>Maximum</t>
        </is>
      </c>
      <c r="O62" s="2" t="inlineStr">
        <is>
          <t>VntSch_AHU</t>
        </is>
      </c>
      <c r="P62" s="2" t="inlineStr">
        <is>
          <t>HtnSch_AHU</t>
        </is>
      </c>
      <c r="Q62" s="2" t="inlineStr">
        <is>
          <t>ClnSch_AHU</t>
        </is>
      </c>
      <c r="R62" s="2" t="n">
        <v>70</v>
      </c>
      <c r="S62" s="2" t="n">
        <v>40</v>
      </c>
      <c r="T62" s="2" t="inlineStr">
        <is>
          <t>Generic room Heating</t>
        </is>
      </c>
      <c r="U62" s="2" t="inlineStr">
        <is>
          <t>Generic room Cooling</t>
        </is>
      </c>
      <c r="V62" s="2" t="n">
        <v>0.0001</v>
      </c>
      <c r="W62" s="2" t="n">
        <v>17</v>
      </c>
      <c r="X62" s="2" t="n">
        <v>1</v>
      </c>
    </row>
    <row r="63">
      <c r="A63" s="2" t="inlineStr">
        <is>
          <t>B09</t>
        </is>
      </c>
      <c r="B63" s="2" t="inlineStr">
        <is>
          <t>zone47</t>
        </is>
      </c>
      <c r="C63" s="2" t="n">
        <v>0.6</v>
      </c>
      <c r="D63" s="2" t="inlineStr">
        <is>
          <t>OccSch_B1.2</t>
        </is>
      </c>
      <c r="E63" s="2" t="n">
        <v>6</v>
      </c>
      <c r="F63" s="2" t="inlineStr">
        <is>
          <t>LghSch_Costant</t>
        </is>
      </c>
      <c r="G63" s="2" t="n">
        <v>0</v>
      </c>
      <c r="H63" s="2" t="n">
        <v>2</v>
      </c>
      <c r="I63" s="2" t="inlineStr">
        <is>
          <t>EqpSch_Costant</t>
        </is>
      </c>
      <c r="J63" s="2" t="n">
        <v>0.007</v>
      </c>
      <c r="K63" s="2">
        <f>IF(J63="","",J63*1000)</f>
        <v/>
      </c>
      <c r="L63" s="2" t="n">
        <v>0.003049</v>
      </c>
      <c r="M63" s="2">
        <f>IF(L63="","",L63*1000)</f>
        <v/>
      </c>
      <c r="N63" s="2" t="inlineStr">
        <is>
          <t>Maximum</t>
        </is>
      </c>
      <c r="O63" s="2" t="inlineStr">
        <is>
          <t>VntSch_AHU</t>
        </is>
      </c>
      <c r="P63" s="2" t="inlineStr">
        <is>
          <t>HtnSch_AHU</t>
        </is>
      </c>
      <c r="Q63" s="2" t="inlineStr">
        <is>
          <t>ClnSch_AHU</t>
        </is>
      </c>
      <c r="R63" s="2" t="n">
        <v>70</v>
      </c>
      <c r="S63" s="2" t="n">
        <v>40</v>
      </c>
      <c r="T63" s="2" t="inlineStr">
        <is>
          <t>Generic room Heating</t>
        </is>
      </c>
      <c r="U63" s="2" t="inlineStr">
        <is>
          <t>Generic room Cooling</t>
        </is>
      </c>
      <c r="V63" s="2" t="n">
        <v>0.0001</v>
      </c>
      <c r="W63" s="2" t="n">
        <v>14</v>
      </c>
      <c r="X63" s="2" t="n">
        <v>1</v>
      </c>
    </row>
    <row r="64">
      <c r="A64" s="2" t="inlineStr">
        <is>
          <t>B09</t>
        </is>
      </c>
      <c r="B64" s="2" t="inlineStr">
        <is>
          <t>zone48</t>
        </is>
      </c>
      <c r="C64" s="2" t="n">
        <v>0.6</v>
      </c>
      <c r="D64" s="2" t="inlineStr">
        <is>
          <t>OccSch_B1.1</t>
        </is>
      </c>
      <c r="E64" s="2" t="n">
        <v>6</v>
      </c>
      <c r="F64" s="2" t="inlineStr">
        <is>
          <t>LghSch_Costant</t>
        </is>
      </c>
      <c r="G64" s="2" t="n">
        <v>0</v>
      </c>
      <c r="H64" s="2" t="n">
        <v>2</v>
      </c>
      <c r="I64" s="2" t="inlineStr">
        <is>
          <t>EqpSch_Costant</t>
        </is>
      </c>
      <c r="J64" s="2" t="n">
        <v>0.007</v>
      </c>
      <c r="K64" s="2">
        <f>IF(J64="","",J64*1000)</f>
        <v/>
      </c>
      <c r="L64" s="2" t="n">
        <v>0.00552093</v>
      </c>
      <c r="M64" s="2">
        <f>IF(L64="","",L64*1000)</f>
        <v/>
      </c>
      <c r="N64" s="2" t="inlineStr">
        <is>
          <t>Maximum</t>
        </is>
      </c>
      <c r="O64" s="2" t="inlineStr">
        <is>
          <t>VntSch_AHU</t>
        </is>
      </c>
      <c r="P64" s="2" t="inlineStr">
        <is>
          <t>HtnSch_AHU</t>
        </is>
      </c>
      <c r="Q64" s="2" t="inlineStr">
        <is>
          <t>ClnSch_AHU</t>
        </is>
      </c>
      <c r="R64" s="2" t="n">
        <v>70</v>
      </c>
      <c r="S64" s="2" t="n">
        <v>40</v>
      </c>
      <c r="T64" s="2" t="inlineStr">
        <is>
          <t>Generic room Heating</t>
        </is>
      </c>
      <c r="U64" s="2" t="inlineStr">
        <is>
          <t>Generic room Cooling</t>
        </is>
      </c>
      <c r="V64" s="2" t="n">
        <v>0.0001</v>
      </c>
      <c r="W64" s="2" t="n">
        <v>15</v>
      </c>
      <c r="X64" s="2" t="n">
        <v>1</v>
      </c>
    </row>
    <row r="65">
      <c r="A65" s="2" t="inlineStr">
        <is>
          <t>B09</t>
        </is>
      </c>
      <c r="B65" s="2" t="inlineStr">
        <is>
          <t>zone49</t>
        </is>
      </c>
      <c r="C65" s="2" t="n">
        <v>0.3</v>
      </c>
      <c r="D65" s="2" t="inlineStr">
        <is>
          <t>OccSch_Unoccupied</t>
        </is>
      </c>
      <c r="E65" s="2" t="n">
        <v>6</v>
      </c>
      <c r="F65" s="2" t="inlineStr">
        <is>
          <t>LghSch_Costant</t>
        </is>
      </c>
      <c r="G65" s="2" t="n">
        <v>0</v>
      </c>
      <c r="H65" s="2" t="n">
        <v>2</v>
      </c>
      <c r="I65" s="2" t="inlineStr">
        <is>
          <t>EqpSch_Costant</t>
        </is>
      </c>
      <c r="J65" s="2" t="n">
        <v>0.007</v>
      </c>
      <c r="K65" s="2">
        <f>IF(J65="","",J65*1000)</f>
        <v/>
      </c>
      <c r="L65" s="2" t="n">
        <v>0.0018737</v>
      </c>
      <c r="M65" s="2">
        <f>IF(L65="","",L65*1000)</f>
        <v/>
      </c>
      <c r="N65" s="2" t="inlineStr">
        <is>
          <t>Maximum</t>
        </is>
      </c>
      <c r="O65" s="2" t="inlineStr">
        <is>
          <t>VntSch_AHU</t>
        </is>
      </c>
      <c r="P65" s="2" t="inlineStr">
        <is>
          <t>HtnSch_AHU</t>
        </is>
      </c>
      <c r="Q65" s="2" t="inlineStr">
        <is>
          <t>ClnSch_AHU</t>
        </is>
      </c>
      <c r="R65" s="2" t="n">
        <v>70</v>
      </c>
      <c r="S65" s="2" t="n">
        <v>40</v>
      </c>
      <c r="T65" s="2" t="inlineStr">
        <is>
          <t>Generic room Heating</t>
        </is>
      </c>
      <c r="U65" s="2" t="inlineStr">
        <is>
          <t>Generic room Cooling</t>
        </is>
      </c>
      <c r="V65" s="2" t="n">
        <v>0.0001</v>
      </c>
      <c r="W65" s="2" t="n">
        <v>17</v>
      </c>
      <c r="X65" s="2" t="n">
        <v>0</v>
      </c>
    </row>
    <row r="66">
      <c r="A66" s="2" t="inlineStr">
        <is>
          <t>B09</t>
        </is>
      </c>
      <c r="B66" s="2" t="inlineStr">
        <is>
          <t>zone50</t>
        </is>
      </c>
      <c r="C66" s="2" t="n">
        <v>0.3</v>
      </c>
      <c r="D66" s="2" t="inlineStr">
        <is>
          <t>OccSch_Unoccupied</t>
        </is>
      </c>
      <c r="E66" s="2" t="n">
        <v>6</v>
      </c>
      <c r="F66" s="2" t="inlineStr">
        <is>
          <t>LghSch_Costant</t>
        </is>
      </c>
      <c r="G66" s="2" t="n">
        <v>0</v>
      </c>
      <c r="H66" s="2" t="n">
        <v>2</v>
      </c>
      <c r="I66" s="2" t="inlineStr">
        <is>
          <t>EqpSch_Costant</t>
        </is>
      </c>
      <c r="J66" s="2" t="n">
        <v>0.007</v>
      </c>
      <c r="K66" s="2">
        <f>IF(J66="","",J66*1000)</f>
        <v/>
      </c>
      <c r="L66" s="2" t="n">
        <v>0.00176674</v>
      </c>
      <c r="M66" s="2">
        <f>IF(L66="","",L66*1000)</f>
        <v/>
      </c>
      <c r="N66" s="2" t="inlineStr">
        <is>
          <t>Maximum</t>
        </is>
      </c>
      <c r="O66" s="2" t="inlineStr">
        <is>
          <t>VntSch_AHU</t>
        </is>
      </c>
      <c r="P66" s="2" t="inlineStr">
        <is>
          <t>HtnSch_AHU</t>
        </is>
      </c>
      <c r="Q66" s="2" t="inlineStr">
        <is>
          <t>ClnSch_AHU</t>
        </is>
      </c>
      <c r="R66" s="2" t="n">
        <v>70</v>
      </c>
      <c r="S66" s="2" t="n">
        <v>40</v>
      </c>
      <c r="T66" s="2" t="inlineStr">
        <is>
          <t>Generic room Heating</t>
        </is>
      </c>
      <c r="U66" s="2" t="inlineStr">
        <is>
          <t>Generic room Cooling</t>
        </is>
      </c>
      <c r="V66" s="2" t="n">
        <v>0.0001</v>
      </c>
      <c r="W66" s="2" t="n">
        <v>14</v>
      </c>
      <c r="X66" s="2" t="n">
        <v>0</v>
      </c>
    </row>
    <row r="67">
      <c r="A67" s="2" t="inlineStr">
        <is>
          <t>B10</t>
        </is>
      </c>
      <c r="B67" s="2" t="inlineStr">
        <is>
          <t>zone00</t>
        </is>
      </c>
      <c r="C67" s="2" t="n">
        <v>0</v>
      </c>
      <c r="D67" s="2" t="inlineStr">
        <is>
          <t>OccSch_Unoccupied</t>
        </is>
      </c>
      <c r="E67" s="2" t="n">
        <v>6</v>
      </c>
      <c r="F67" s="2" t="inlineStr">
        <is>
          <t>LghSch_Costant</t>
        </is>
      </c>
      <c r="G67" s="2" t="n">
        <v>0</v>
      </c>
      <c r="H67" s="2" t="n">
        <v>2</v>
      </c>
      <c r="I67" s="2" t="inlineStr">
        <is>
          <t>EqpSch_Costant</t>
        </is>
      </c>
      <c r="J67" s="2" t="n">
        <v>0</v>
      </c>
      <c r="K67" s="2">
        <f>IF(J67="","",J67*1000)</f>
        <v/>
      </c>
      <c r="L67" s="2" t="n">
        <v>0.008</v>
      </c>
      <c r="M67" s="2">
        <f>IF(L67="","",L67*1000)</f>
        <v/>
      </c>
      <c r="N67" s="2" t="inlineStr">
        <is>
          <t>Maximum</t>
        </is>
      </c>
      <c r="O67" s="2" t="inlineStr">
        <is>
          <t>VntSch_AHU</t>
        </is>
      </c>
      <c r="P67" s="2" t="inlineStr">
        <is>
          <t>HtnSch_AHU</t>
        </is>
      </c>
      <c r="Q67" s="2" t="inlineStr">
        <is>
          <t>ClnSch_AHU</t>
        </is>
      </c>
      <c r="R67" s="2" t="n">
        <v>100</v>
      </c>
      <c r="S67" s="2" t="n">
        <v>0</v>
      </c>
      <c r="T67" s="2" t="inlineStr">
        <is>
          <t>Generic room Heating</t>
        </is>
      </c>
      <c r="U67" s="2" t="inlineStr">
        <is>
          <t>Generic room Cooling</t>
        </is>
      </c>
      <c r="V67" s="2" t="n">
        <v>0.0001</v>
      </c>
      <c r="W67" s="2" t="n">
        <v>18</v>
      </c>
      <c r="X67" s="2" t="n">
        <v>0</v>
      </c>
    </row>
    <row r="68">
      <c r="A68" s="2" t="inlineStr">
        <is>
          <t>B10</t>
        </is>
      </c>
      <c r="B68" s="2" t="inlineStr">
        <is>
          <t>zone01</t>
        </is>
      </c>
      <c r="C68" s="2" t="n">
        <v>0</v>
      </c>
      <c r="D68" s="2" t="inlineStr">
        <is>
          <t>OccSch_Unoccupied</t>
        </is>
      </c>
      <c r="E68" s="2" t="n">
        <v>6</v>
      </c>
      <c r="F68" s="2" t="inlineStr">
        <is>
          <t>LghSch_Costant</t>
        </is>
      </c>
      <c r="G68" s="2" t="n">
        <v>0</v>
      </c>
      <c r="H68" s="2" t="n">
        <v>2</v>
      </c>
      <c r="I68" s="2" t="inlineStr">
        <is>
          <t>EqpSch_Costant</t>
        </is>
      </c>
      <c r="J68" s="2" t="n">
        <v>0</v>
      </c>
      <c r="K68" s="2">
        <f>IF(J68="","",J68*1000)</f>
        <v/>
      </c>
      <c r="L68" s="2" t="n">
        <v>0.001</v>
      </c>
      <c r="M68" s="2">
        <f>IF(L68="","",L68*1000)</f>
        <v/>
      </c>
      <c r="N68" s="2" t="inlineStr">
        <is>
          <t>Maximum</t>
        </is>
      </c>
      <c r="O68" s="2" t="inlineStr">
        <is>
          <t>AlwaysOff</t>
        </is>
      </c>
      <c r="P68" s="2" t="inlineStr">
        <is>
          <t>AlwaysOff</t>
        </is>
      </c>
      <c r="Q68" s="2" t="inlineStr">
        <is>
          <t>AlwaysOff</t>
        </is>
      </c>
      <c r="R68" s="2" t="n">
        <v>70</v>
      </c>
      <c r="S68" s="2" t="n">
        <v>40</v>
      </c>
      <c r="T68" s="2" t="inlineStr">
        <is>
          <t>Generic room Heating</t>
        </is>
      </c>
      <c r="U68" s="2" t="inlineStr">
        <is>
          <t>Generic room Cooling</t>
        </is>
      </c>
      <c r="V68" s="2" t="n">
        <v>0.0001</v>
      </c>
      <c r="W68" s="2" t="n">
        <v>20</v>
      </c>
      <c r="X68" s="2" t="n">
        <v>0</v>
      </c>
    </row>
    <row r="69">
      <c r="A69" s="2" t="inlineStr">
        <is>
          <t>B10</t>
        </is>
      </c>
      <c r="B69" s="2" t="inlineStr">
        <is>
          <t>zone02</t>
        </is>
      </c>
      <c r="C69" s="2" t="n">
        <v>0</v>
      </c>
      <c r="D69" s="2" t="inlineStr">
        <is>
          <t>OccSch_Unoccupied</t>
        </is>
      </c>
      <c r="E69" s="2" t="n">
        <v>6</v>
      </c>
      <c r="F69" s="2" t="inlineStr">
        <is>
          <t>AlwaysOff</t>
        </is>
      </c>
      <c r="G69" s="2" t="n">
        <v>0</v>
      </c>
      <c r="H69" s="2" t="n">
        <v>0</v>
      </c>
      <c r="I69" s="2" t="inlineStr">
        <is>
          <t>AlwaysOff</t>
        </is>
      </c>
      <c r="J69" s="2" t="n">
        <v>0</v>
      </c>
      <c r="K69" s="2">
        <f>IF(J69="","",J69*1000)</f>
        <v/>
      </c>
      <c r="L69" s="2" t="n">
        <v>0</v>
      </c>
      <c r="M69" s="2">
        <f>IF(L69="","",L69*1000)</f>
        <v/>
      </c>
      <c r="N69" s="2" t="inlineStr">
        <is>
          <t>Maximum</t>
        </is>
      </c>
      <c r="O69" s="2" t="inlineStr">
        <is>
          <t>AlwaysOff</t>
        </is>
      </c>
      <c r="P69" s="2" t="inlineStr">
        <is>
          <t>AlwaysOff</t>
        </is>
      </c>
      <c r="Q69" s="2" t="inlineStr">
        <is>
          <t>AlwaysOff</t>
        </is>
      </c>
      <c r="R69" s="2" t="n">
        <v>70</v>
      </c>
      <c r="S69" s="2" t="n">
        <v>40</v>
      </c>
      <c r="T69" s="2" t="inlineStr">
        <is>
          <t>Generic room Heating</t>
        </is>
      </c>
      <c r="U69" s="2" t="inlineStr">
        <is>
          <t>Generic room Cooling</t>
        </is>
      </c>
      <c r="V69" s="2" t="n">
        <v>0.0001</v>
      </c>
      <c r="W69" s="2" t="n">
        <v>35</v>
      </c>
      <c r="X69" s="2" t="n">
        <v>0</v>
      </c>
    </row>
    <row r="70">
      <c r="A70" s="2" t="inlineStr">
        <is>
          <t>B10</t>
        </is>
      </c>
      <c r="B70" s="2" t="inlineStr">
        <is>
          <t>zone03</t>
        </is>
      </c>
      <c r="C70" s="2" t="n">
        <v>0</v>
      </c>
      <c r="D70" s="2" t="inlineStr">
        <is>
          <t>OccSch_Unoccupied</t>
        </is>
      </c>
      <c r="E70" s="2" t="n">
        <v>6</v>
      </c>
      <c r="F70" s="2" t="inlineStr">
        <is>
          <t>LghSch_Costant</t>
        </is>
      </c>
      <c r="G70" s="2" t="n">
        <v>0</v>
      </c>
      <c r="H70" s="2" t="n">
        <v>2</v>
      </c>
      <c r="I70" s="2" t="inlineStr">
        <is>
          <t>EqpSch_Costant</t>
        </is>
      </c>
      <c r="J70" s="2" t="n">
        <v>0</v>
      </c>
      <c r="K70" s="2">
        <f>IF(J70="","",J70*1000)</f>
        <v/>
      </c>
      <c r="L70" s="2" t="n">
        <v>0</v>
      </c>
      <c r="M70" s="2">
        <f>IF(L70="","",L70*1000)</f>
        <v/>
      </c>
      <c r="N70" s="2" t="inlineStr">
        <is>
          <t>Maximum</t>
        </is>
      </c>
      <c r="O70" s="2" t="inlineStr">
        <is>
          <t>AlwaysOff</t>
        </is>
      </c>
      <c r="P70" s="2" t="inlineStr">
        <is>
          <t>AlwaysOff</t>
        </is>
      </c>
      <c r="Q70" s="2" t="inlineStr">
        <is>
          <t>AlwaysOff</t>
        </is>
      </c>
      <c r="R70" s="2" t="n">
        <v>70</v>
      </c>
      <c r="S70" s="2" t="n">
        <v>40</v>
      </c>
      <c r="T70" s="2" t="inlineStr">
        <is>
          <t>Generic room Heating</t>
        </is>
      </c>
      <c r="U70" s="2" t="inlineStr">
        <is>
          <t>Generic room Cooling</t>
        </is>
      </c>
      <c r="V70" s="2" t="n">
        <v>0.0001</v>
      </c>
      <c r="W70" s="2" t="n">
        <v>8</v>
      </c>
      <c r="X70" s="2" t="n">
        <v>0</v>
      </c>
    </row>
    <row r="71">
      <c r="A71" s="2" t="inlineStr">
        <is>
          <t>B10</t>
        </is>
      </c>
      <c r="B71" s="2" t="inlineStr">
        <is>
          <t>zone04</t>
        </is>
      </c>
      <c r="C71" s="2" t="n">
        <v>0</v>
      </c>
      <c r="D71" s="2" t="inlineStr">
        <is>
          <t>OccSch_Unoccupied</t>
        </is>
      </c>
      <c r="E71" s="2" t="n">
        <v>6</v>
      </c>
      <c r="F71" s="2" t="inlineStr">
        <is>
          <t>LghSch_Unoccupied</t>
        </is>
      </c>
      <c r="G71" s="2" t="n">
        <v>0</v>
      </c>
      <c r="H71" s="2" t="n">
        <v>2</v>
      </c>
      <c r="I71" s="2" t="inlineStr">
        <is>
          <t>EqpSch_Costant</t>
        </is>
      </c>
      <c r="J71" s="2" t="n">
        <v>0</v>
      </c>
      <c r="K71" s="2">
        <f>IF(J71="","",J71*1000)</f>
        <v/>
      </c>
      <c r="L71" s="2" t="n">
        <v>0</v>
      </c>
      <c r="M71" s="2">
        <f>IF(L71="","",L71*1000)</f>
        <v/>
      </c>
      <c r="N71" s="2" t="inlineStr">
        <is>
          <t>Maximum</t>
        </is>
      </c>
      <c r="O71" s="2" t="inlineStr">
        <is>
          <t>AlwaysOff</t>
        </is>
      </c>
      <c r="P71" s="2" t="inlineStr">
        <is>
          <t>AlwaysOff</t>
        </is>
      </c>
      <c r="Q71" s="2" t="inlineStr">
        <is>
          <t>AlwaysOff</t>
        </is>
      </c>
      <c r="R71" s="2" t="n">
        <v>70</v>
      </c>
      <c r="S71" s="2" t="n">
        <v>40</v>
      </c>
      <c r="T71" s="2" t="inlineStr">
        <is>
          <t>Generic room Heating</t>
        </is>
      </c>
      <c r="U71" s="2" t="inlineStr">
        <is>
          <t>Generic room Cooling</t>
        </is>
      </c>
      <c r="V71" s="2" t="n">
        <v>0.0001</v>
      </c>
      <c r="W71" s="2" t="n">
        <v>24</v>
      </c>
      <c r="X71" s="2" t="n">
        <v>0</v>
      </c>
    </row>
    <row r="72">
      <c r="A72" s="2" t="inlineStr">
        <is>
          <t>B10</t>
        </is>
      </c>
      <c r="B72" s="2" t="inlineStr">
        <is>
          <t>zone05</t>
        </is>
      </c>
      <c r="C72" s="2" t="n">
        <v>0</v>
      </c>
      <c r="D72" s="2" t="inlineStr">
        <is>
          <t>OccSch_Unoccupied</t>
        </is>
      </c>
      <c r="E72" s="2" t="n">
        <v>6</v>
      </c>
      <c r="F72" s="2" t="inlineStr">
        <is>
          <t>AlwaysOff</t>
        </is>
      </c>
      <c r="G72" s="2" t="n">
        <v>0</v>
      </c>
      <c r="H72" s="2" t="n">
        <v>0</v>
      </c>
      <c r="I72" s="2" t="inlineStr">
        <is>
          <t>AlwaysOff</t>
        </is>
      </c>
      <c r="J72" s="2" t="n">
        <v>0</v>
      </c>
      <c r="K72" s="2">
        <f>IF(J72="","",J72*1000)</f>
        <v/>
      </c>
      <c r="L72" s="2" t="n">
        <v>0.001</v>
      </c>
      <c r="M72" s="2">
        <f>IF(L72="","",L72*1000)</f>
        <v/>
      </c>
      <c r="N72" s="2" t="inlineStr">
        <is>
          <t>Maximum</t>
        </is>
      </c>
      <c r="O72" s="2" t="inlineStr">
        <is>
          <t>VntSch_AHU</t>
        </is>
      </c>
      <c r="P72" s="2" t="inlineStr">
        <is>
          <t>HtnSch_AHU</t>
        </is>
      </c>
      <c r="Q72" s="2" t="inlineStr">
        <is>
          <t>ClnSch_AHU</t>
        </is>
      </c>
      <c r="R72" s="2" t="n">
        <v>70</v>
      </c>
      <c r="S72" s="2" t="n">
        <v>40</v>
      </c>
      <c r="T72" s="2" t="inlineStr">
        <is>
          <t>Generic room Heating</t>
        </is>
      </c>
      <c r="U72" s="2" t="inlineStr">
        <is>
          <t>Generic room Cooling</t>
        </is>
      </c>
      <c r="V72" s="2" t="n">
        <v>0.0001</v>
      </c>
      <c r="W72" s="2" t="n">
        <v>7</v>
      </c>
      <c r="X72" s="2" t="n">
        <v>1</v>
      </c>
    </row>
    <row r="73">
      <c r="A73" s="2" t="inlineStr">
        <is>
          <t>B10</t>
        </is>
      </c>
      <c r="B73" s="2" t="inlineStr">
        <is>
          <t>zone06</t>
        </is>
      </c>
      <c r="C73" s="2" t="n">
        <v>0</v>
      </c>
      <c r="D73" s="2" t="inlineStr">
        <is>
          <t>OccSch_A0.1/A0.2</t>
        </is>
      </c>
      <c r="E73" s="2" t="n">
        <v>6</v>
      </c>
      <c r="F73" s="2" t="inlineStr">
        <is>
          <t>LghSch_Costant</t>
        </is>
      </c>
      <c r="G73" s="2" t="n">
        <v>0</v>
      </c>
      <c r="H73" s="2" t="n">
        <v>2</v>
      </c>
      <c r="I73" s="2" t="inlineStr">
        <is>
          <t>EqpSch_Costant</t>
        </is>
      </c>
      <c r="J73" s="2" t="n">
        <v>0</v>
      </c>
      <c r="K73" s="2">
        <f>IF(J73="","",J73*1000)</f>
        <v/>
      </c>
      <c r="L73" s="2" t="n">
        <v>0</v>
      </c>
      <c r="M73" s="2">
        <f>IF(L73="","",L73*1000)</f>
        <v/>
      </c>
      <c r="N73" s="2" t="inlineStr">
        <is>
          <t>Maximum</t>
        </is>
      </c>
      <c r="O73" s="2" t="inlineStr">
        <is>
          <t>AlwaysOff</t>
        </is>
      </c>
      <c r="P73" s="2" t="inlineStr">
        <is>
          <t>AlwaysOff</t>
        </is>
      </c>
      <c r="Q73" s="2" t="inlineStr">
        <is>
          <t>AlwaysOff</t>
        </is>
      </c>
      <c r="R73" s="2" t="n">
        <v>100</v>
      </c>
      <c r="S73" s="2" t="n">
        <v>0</v>
      </c>
      <c r="T73" s="2" t="inlineStr">
        <is>
          <t>Generic room Heating</t>
        </is>
      </c>
      <c r="U73" s="2" t="inlineStr">
        <is>
          <t>Generic room Cooling</t>
        </is>
      </c>
      <c r="V73" s="2" t="n">
        <v>0.0001</v>
      </c>
      <c r="W73" s="2" t="n">
        <v>9</v>
      </c>
      <c r="X73" s="2" t="n">
        <v>0</v>
      </c>
    </row>
    <row r="74">
      <c r="A74" s="2" t="inlineStr">
        <is>
          <t>B10</t>
        </is>
      </c>
      <c r="B74" s="2" t="inlineStr">
        <is>
          <t>zone07</t>
        </is>
      </c>
      <c r="C74" s="2" t="n">
        <v>0</v>
      </c>
      <c r="D74" s="2" t="inlineStr">
        <is>
          <t>OccSch_Unoccupied</t>
        </is>
      </c>
      <c r="E74" s="2" t="n">
        <v>6</v>
      </c>
      <c r="F74" s="2" t="inlineStr">
        <is>
          <t>AlwaysOff</t>
        </is>
      </c>
      <c r="G74" s="2" t="n">
        <v>0</v>
      </c>
      <c r="H74" s="2" t="n">
        <v>0</v>
      </c>
      <c r="I74" s="2" t="inlineStr">
        <is>
          <t>AlwaysOff</t>
        </is>
      </c>
      <c r="J74" s="2" t="n">
        <v>0</v>
      </c>
      <c r="K74" s="2">
        <f>IF(J74="","",J74*1000)</f>
        <v/>
      </c>
      <c r="L74" s="2" t="n">
        <v>0</v>
      </c>
      <c r="M74" s="2">
        <f>IF(L74="","",L74*1000)</f>
        <v/>
      </c>
      <c r="N74" s="2" t="inlineStr">
        <is>
          <t>Maximum</t>
        </is>
      </c>
      <c r="O74" s="2" t="inlineStr">
        <is>
          <t>AlwaysOff</t>
        </is>
      </c>
      <c r="P74" s="2" t="inlineStr">
        <is>
          <t>AlwaysOff</t>
        </is>
      </c>
      <c r="Q74" s="2" t="inlineStr">
        <is>
          <t>AlwaysOff</t>
        </is>
      </c>
      <c r="R74" s="2" t="n">
        <v>70</v>
      </c>
      <c r="S74" s="2" t="n">
        <v>40</v>
      </c>
      <c r="T74" s="2" t="inlineStr">
        <is>
          <t>Generic room Heating</t>
        </is>
      </c>
      <c r="U74" s="2" t="inlineStr">
        <is>
          <t>Generic room Cooling</t>
        </is>
      </c>
      <c r="V74" s="2" t="n">
        <v>0.0001</v>
      </c>
      <c r="W74" s="2" t="n">
        <v>33</v>
      </c>
      <c r="X74" s="2" t="n">
        <v>0</v>
      </c>
    </row>
    <row r="75">
      <c r="A75" s="2" t="inlineStr">
        <is>
          <t>B10</t>
        </is>
      </c>
      <c r="B75" s="2" t="inlineStr">
        <is>
          <t>zone08</t>
        </is>
      </c>
      <c r="C75" s="2" t="n">
        <v>0</v>
      </c>
      <c r="D75" s="2" t="inlineStr">
        <is>
          <t>OccSch_Unoccupied</t>
        </is>
      </c>
      <c r="E75" s="2" t="n">
        <v>6</v>
      </c>
      <c r="F75" s="2" t="inlineStr">
        <is>
          <t>LghSch_Unoccupied</t>
        </is>
      </c>
      <c r="G75" s="2" t="n">
        <v>0</v>
      </c>
      <c r="H75" s="2" t="n">
        <v>0</v>
      </c>
      <c r="I75" s="2" t="inlineStr">
        <is>
          <t>EqpSch_Unoccupied</t>
        </is>
      </c>
      <c r="J75" s="2" t="n">
        <v>0</v>
      </c>
      <c r="K75" s="2">
        <f>IF(J75="","",J75*1000)</f>
        <v/>
      </c>
      <c r="L75" s="2" t="n">
        <v>0.001</v>
      </c>
      <c r="M75" s="2">
        <f>IF(L75="","",L75*1000)</f>
        <v/>
      </c>
      <c r="N75" s="2" t="inlineStr">
        <is>
          <t>Maximum</t>
        </is>
      </c>
      <c r="O75" s="2" t="inlineStr">
        <is>
          <t>VntSch_AHU</t>
        </is>
      </c>
      <c r="P75" s="2" t="inlineStr">
        <is>
          <t>HtnSch_AHU</t>
        </is>
      </c>
      <c r="Q75" s="2" t="inlineStr">
        <is>
          <t>ClnSch_AHU</t>
        </is>
      </c>
      <c r="R75" s="2" t="n">
        <v>70</v>
      </c>
      <c r="S75" s="2" t="n">
        <v>40</v>
      </c>
      <c r="T75" s="2" t="inlineStr">
        <is>
          <t>Generic room Heating</t>
        </is>
      </c>
      <c r="U75" s="2" t="inlineStr">
        <is>
          <t>Generic room Cooling</t>
        </is>
      </c>
      <c r="V75" s="2" t="n">
        <v>0.0001</v>
      </c>
      <c r="W75" s="2" t="n">
        <v>66</v>
      </c>
      <c r="X75" s="2" t="n">
        <v>4</v>
      </c>
    </row>
    <row r="76">
      <c r="A76" s="2" t="inlineStr">
        <is>
          <t>B10</t>
        </is>
      </c>
      <c r="B76" s="2" t="inlineStr">
        <is>
          <t>zone09</t>
        </is>
      </c>
      <c r="C76" s="2" t="n">
        <v>0</v>
      </c>
      <c r="D76" s="2" t="inlineStr">
        <is>
          <t>OccSch_Unoccupied</t>
        </is>
      </c>
      <c r="E76" s="2" t="n">
        <v>6</v>
      </c>
      <c r="F76" s="2" t="inlineStr">
        <is>
          <t>LghSch_Costant</t>
        </is>
      </c>
      <c r="G76" s="2" t="n">
        <v>0</v>
      </c>
      <c r="H76" s="2" t="n">
        <v>0</v>
      </c>
      <c r="I76" s="2" t="inlineStr">
        <is>
          <t>EqpSch_Unoccupied</t>
        </is>
      </c>
      <c r="J76" s="2" t="n">
        <v>0</v>
      </c>
      <c r="K76" s="2">
        <f>IF(J76="","",J76*1000)</f>
        <v/>
      </c>
      <c r="L76" s="2" t="n">
        <v>0.008</v>
      </c>
      <c r="M76" s="2">
        <f>IF(L76="","",L76*1000)</f>
        <v/>
      </c>
      <c r="N76" s="2" t="inlineStr">
        <is>
          <t>Maximum</t>
        </is>
      </c>
      <c r="O76" s="2" t="inlineStr">
        <is>
          <t>VntSch_AHU</t>
        </is>
      </c>
      <c r="P76" s="2" t="inlineStr">
        <is>
          <t>HtnSch_AHU</t>
        </is>
      </c>
      <c r="Q76" s="2" t="inlineStr">
        <is>
          <t>ClnSch_AHU</t>
        </is>
      </c>
      <c r="R76" s="2" t="n">
        <v>70</v>
      </c>
      <c r="S76" s="2" t="n">
        <v>40</v>
      </c>
      <c r="T76" s="2" t="inlineStr">
        <is>
          <t>Generic room Heating</t>
        </is>
      </c>
      <c r="U76" s="2" t="inlineStr">
        <is>
          <t>Generic room Cooling</t>
        </is>
      </c>
      <c r="V76" s="2" t="n">
        <v>0.0001</v>
      </c>
      <c r="W76" s="2" t="n">
        <v>31</v>
      </c>
      <c r="X76" s="2" t="n">
        <v>0</v>
      </c>
    </row>
    <row r="77">
      <c r="A77" s="2" t="inlineStr">
        <is>
          <t>B10</t>
        </is>
      </c>
      <c r="B77" s="2" t="inlineStr">
        <is>
          <t>zone10</t>
        </is>
      </c>
      <c r="C77" s="2" t="n">
        <v>0</v>
      </c>
      <c r="D77" s="2" t="inlineStr">
        <is>
          <t>OccSch_Unoccupied</t>
        </is>
      </c>
      <c r="E77" s="2" t="n">
        <v>6</v>
      </c>
      <c r="F77" s="2" t="inlineStr">
        <is>
          <t>AlwaysOff</t>
        </is>
      </c>
      <c r="G77" s="2" t="n">
        <v>0</v>
      </c>
      <c r="H77" s="2" t="n">
        <v>0</v>
      </c>
      <c r="I77" s="2" t="inlineStr">
        <is>
          <t>AlwaysOff</t>
        </is>
      </c>
      <c r="J77" s="2" t="n">
        <v>0</v>
      </c>
      <c r="K77" s="2">
        <f>IF(J77="","",J77*1000)</f>
        <v/>
      </c>
      <c r="L77" s="2" t="n">
        <v>0.001</v>
      </c>
      <c r="M77" s="2">
        <f>IF(L77="","",L77*1000)</f>
        <v/>
      </c>
      <c r="N77" s="2" t="inlineStr">
        <is>
          <t>Maximum</t>
        </is>
      </c>
      <c r="O77" s="2" t="inlineStr">
        <is>
          <t>AlwaysOff</t>
        </is>
      </c>
      <c r="P77" s="2" t="inlineStr">
        <is>
          <t>AlwaysOff</t>
        </is>
      </c>
      <c r="Q77" s="2" t="inlineStr">
        <is>
          <t>AlwaysOff</t>
        </is>
      </c>
      <c r="R77" s="2" t="n">
        <v>70</v>
      </c>
      <c r="S77" s="2" t="n">
        <v>40</v>
      </c>
      <c r="T77" s="2" t="inlineStr">
        <is>
          <t>Generic room Heating</t>
        </is>
      </c>
      <c r="U77" s="2" t="inlineStr">
        <is>
          <t>Generic room Cooling</t>
        </is>
      </c>
      <c r="V77" s="2" t="n">
        <v>0.0001</v>
      </c>
      <c r="W77" s="2" t="n">
        <v>15</v>
      </c>
      <c r="X77" s="2" t="n">
        <v>0</v>
      </c>
    </row>
    <row r="78">
      <c r="A78" s="2" t="inlineStr">
        <is>
          <t>B10</t>
        </is>
      </c>
      <c r="B78" s="2" t="inlineStr">
        <is>
          <t>zone11</t>
        </is>
      </c>
      <c r="C78" s="2" t="n">
        <v>0</v>
      </c>
      <c r="D78" s="2" t="inlineStr">
        <is>
          <t>OccSch_Unoccupied</t>
        </is>
      </c>
      <c r="E78" s="2" t="n">
        <v>6</v>
      </c>
      <c r="F78" s="2" t="inlineStr">
        <is>
          <t>AlwaysOff</t>
        </is>
      </c>
      <c r="G78" s="2" t="n">
        <v>0</v>
      </c>
      <c r="H78" s="2" t="n">
        <v>0</v>
      </c>
      <c r="I78" s="2" t="inlineStr">
        <is>
          <t>AlwaysOff</t>
        </is>
      </c>
      <c r="J78" s="2" t="n">
        <v>0</v>
      </c>
      <c r="K78" s="2">
        <f>IF(J78="","",J78*1000)</f>
        <v/>
      </c>
      <c r="L78" s="2" t="n">
        <v>0</v>
      </c>
      <c r="M78" s="2">
        <f>IF(L78="","",L78*1000)</f>
        <v/>
      </c>
      <c r="N78" s="2" t="inlineStr">
        <is>
          <t>Maximum</t>
        </is>
      </c>
      <c r="O78" s="2" t="inlineStr">
        <is>
          <t>AlwaysOff</t>
        </is>
      </c>
      <c r="P78" s="2" t="inlineStr">
        <is>
          <t>AlwaysOff</t>
        </is>
      </c>
      <c r="Q78" s="2" t="inlineStr">
        <is>
          <t>AlwaysOff</t>
        </is>
      </c>
      <c r="R78" s="2" t="n">
        <v>70</v>
      </c>
      <c r="S78" s="2" t="n">
        <v>40</v>
      </c>
      <c r="T78" s="2" t="inlineStr">
        <is>
          <t>Generic room Heating</t>
        </is>
      </c>
      <c r="U78" s="2" t="inlineStr">
        <is>
          <t>Generic room Cooling</t>
        </is>
      </c>
      <c r="V78" s="2" t="n">
        <v>0.0001</v>
      </c>
      <c r="W78" s="2" t="n">
        <v>68</v>
      </c>
      <c r="X78" s="2" t="n">
        <v>6</v>
      </c>
    </row>
    <row r="79">
      <c r="A79" s="2" t="inlineStr">
        <is>
          <t>B10</t>
        </is>
      </c>
      <c r="B79" s="2" t="inlineStr">
        <is>
          <t>zone12</t>
        </is>
      </c>
      <c r="C79" s="2" t="n">
        <v>0.8</v>
      </c>
      <c r="D79" s="2" t="inlineStr">
        <is>
          <t>OccSch_Unoccupied</t>
        </is>
      </c>
      <c r="E79" s="2" t="n">
        <v>6</v>
      </c>
      <c r="F79" s="2" t="inlineStr">
        <is>
          <t>LghSch_Costant</t>
        </is>
      </c>
      <c r="G79" s="2" t="n">
        <v>0</v>
      </c>
      <c r="H79" s="2" t="n">
        <v>0</v>
      </c>
      <c r="I79" s="2" t="inlineStr">
        <is>
          <t>EqpSch_Unoccupied</t>
        </is>
      </c>
      <c r="J79" s="2" t="n">
        <v>0.007</v>
      </c>
      <c r="K79" s="2">
        <f>IF(J79="","",J79*1000)</f>
        <v/>
      </c>
      <c r="L79" s="2" t="n">
        <v>0.00481128</v>
      </c>
      <c r="M79" s="2">
        <f>IF(L79="","",L79*1000)</f>
        <v/>
      </c>
      <c r="N79" s="2" t="inlineStr">
        <is>
          <t>Maximum</t>
        </is>
      </c>
      <c r="O79" s="2" t="inlineStr">
        <is>
          <t>VntSch_AHU</t>
        </is>
      </c>
      <c r="P79" s="2" t="inlineStr">
        <is>
          <t>HtnSch_AHU</t>
        </is>
      </c>
      <c r="Q79" s="2" t="inlineStr">
        <is>
          <t>ClnSch_AHU</t>
        </is>
      </c>
      <c r="R79" s="2" t="n">
        <v>70</v>
      </c>
      <c r="S79" s="2" t="n">
        <v>40</v>
      </c>
      <c r="T79" s="2" t="inlineStr">
        <is>
          <t>Generic room Heating</t>
        </is>
      </c>
      <c r="U79" s="2" t="inlineStr">
        <is>
          <t>Generic room Cooling</t>
        </is>
      </c>
      <c r="V79" s="2" t="n">
        <v>0.0001</v>
      </c>
      <c r="W79" s="2" t="n">
        <v>9</v>
      </c>
      <c r="X79" s="2" t="n">
        <v>3</v>
      </c>
    </row>
    <row r="80">
      <c r="A80" s="2" t="inlineStr">
        <is>
          <t>B10</t>
        </is>
      </c>
      <c r="B80" s="2" t="inlineStr">
        <is>
          <t>zone13</t>
        </is>
      </c>
      <c r="C80" s="2" t="n">
        <v>0</v>
      </c>
      <c r="D80" s="2" t="inlineStr">
        <is>
          <t>OccSch_Unoccupied</t>
        </is>
      </c>
      <c r="E80" s="2" t="n">
        <v>6</v>
      </c>
      <c r="F80" s="2" t="inlineStr">
        <is>
          <t>LghSch_Unoccupied</t>
        </is>
      </c>
      <c r="G80" s="2" t="n">
        <v>0</v>
      </c>
      <c r="H80" s="2" t="n">
        <v>0</v>
      </c>
      <c r="I80" s="2" t="inlineStr">
        <is>
          <t>EqpSch_Unoccupied</t>
        </is>
      </c>
      <c r="J80" s="2" t="n">
        <v>0</v>
      </c>
      <c r="K80" s="2">
        <f>IF(J80="","",J80*1000)</f>
        <v/>
      </c>
      <c r="L80" s="2" t="n">
        <v>0</v>
      </c>
      <c r="M80" s="2">
        <f>IF(L80="","",L80*1000)</f>
        <v/>
      </c>
      <c r="N80" s="2" t="inlineStr">
        <is>
          <t>Maximum</t>
        </is>
      </c>
      <c r="O80" s="2" t="inlineStr">
        <is>
          <t>VntSch_AHU</t>
        </is>
      </c>
      <c r="P80" s="2" t="inlineStr">
        <is>
          <t>HtnSch_AHU</t>
        </is>
      </c>
      <c r="Q80" s="2" t="inlineStr">
        <is>
          <t>ClnSch_AHU</t>
        </is>
      </c>
      <c r="R80" s="2" t="n">
        <v>70</v>
      </c>
      <c r="S80" s="2" t="n">
        <v>40</v>
      </c>
      <c r="T80" s="2" t="inlineStr">
        <is>
          <t>Generic room Heating</t>
        </is>
      </c>
      <c r="U80" s="2" t="inlineStr">
        <is>
          <t>Generic room Cooling</t>
        </is>
      </c>
      <c r="V80" s="2" t="n">
        <v>0.0001</v>
      </c>
      <c r="W80" s="2" t="n">
        <v>12</v>
      </c>
      <c r="X80" s="2" t="n">
        <v>0</v>
      </c>
    </row>
    <row r="81">
      <c r="A81" s="2" t="inlineStr">
        <is>
          <t>B10</t>
        </is>
      </c>
      <c r="B81" s="2" t="inlineStr">
        <is>
          <t>zone14</t>
        </is>
      </c>
      <c r="C81" s="2" t="n">
        <v>0.3</v>
      </c>
      <c r="D81" s="2" t="inlineStr">
        <is>
          <t>OccSch_Unoccupied</t>
        </is>
      </c>
      <c r="E81" s="2" t="n">
        <v>6</v>
      </c>
      <c r="F81" s="2" t="inlineStr">
        <is>
          <t>LghSch_Unoccupied</t>
        </is>
      </c>
      <c r="G81" s="2" t="n">
        <v>0</v>
      </c>
      <c r="H81" s="2" t="n">
        <v>0</v>
      </c>
      <c r="I81" s="2" t="inlineStr">
        <is>
          <t>EqpSch_Unoccupied</t>
        </is>
      </c>
      <c r="J81" s="2" t="n">
        <v>0.007</v>
      </c>
      <c r="K81" s="2">
        <f>IF(J81="","",J81*1000)</f>
        <v/>
      </c>
      <c r="L81" s="2" t="n">
        <v>0.00183147</v>
      </c>
      <c r="M81" s="2">
        <f>IF(L81="","",L81*1000)</f>
        <v/>
      </c>
      <c r="N81" s="2" t="inlineStr">
        <is>
          <t>Maximum</t>
        </is>
      </c>
      <c r="O81" s="2" t="inlineStr">
        <is>
          <t>VntSch_AHU</t>
        </is>
      </c>
      <c r="P81" s="2" t="inlineStr">
        <is>
          <t>HtnSch_AHU</t>
        </is>
      </c>
      <c r="Q81" s="2" t="inlineStr">
        <is>
          <t>ClnSch_AHU</t>
        </is>
      </c>
      <c r="R81" s="2" t="n">
        <v>70</v>
      </c>
      <c r="S81" s="2" t="n">
        <v>40</v>
      </c>
      <c r="T81" s="2" t="inlineStr">
        <is>
          <t>Generic room Heating</t>
        </is>
      </c>
      <c r="U81" s="2" t="inlineStr">
        <is>
          <t>Generic room Cooling</t>
        </is>
      </c>
      <c r="V81" s="2" t="n">
        <v>0.0001</v>
      </c>
      <c r="W81" s="2" t="n">
        <v>13</v>
      </c>
      <c r="X81" s="2" t="n">
        <v>1</v>
      </c>
    </row>
    <row r="82">
      <c r="A82" s="2" t="inlineStr">
        <is>
          <t>B10</t>
        </is>
      </c>
      <c r="B82" s="2" t="inlineStr">
        <is>
          <t>zone15</t>
        </is>
      </c>
      <c r="C82" s="2" t="n">
        <v>0.6</v>
      </c>
      <c r="D82" s="2" t="inlineStr">
        <is>
          <t>OccSch_A1.2</t>
        </is>
      </c>
      <c r="E82" s="2" t="n">
        <v>6</v>
      </c>
      <c r="F82" s="2" t="inlineStr">
        <is>
          <t>LghSch_A1.2</t>
        </is>
      </c>
      <c r="G82" s="2" t="n">
        <v>0</v>
      </c>
      <c r="H82" s="2" t="n">
        <v>10</v>
      </c>
      <c r="I82" s="2" t="inlineStr">
        <is>
          <t>EqpSch_A1.2</t>
        </is>
      </c>
      <c r="J82" s="2" t="n">
        <v>0.007</v>
      </c>
      <c r="K82" s="2">
        <f>IF(J82="","",J82*1000)</f>
        <v/>
      </c>
      <c r="L82" s="2" t="n">
        <v>0.0033027</v>
      </c>
      <c r="M82" s="2">
        <f>IF(L82="","",L82*1000)</f>
        <v/>
      </c>
      <c r="N82" s="2" t="inlineStr">
        <is>
          <t>Maximum</t>
        </is>
      </c>
      <c r="O82" s="2" t="inlineStr">
        <is>
          <t>VntSch_AHU</t>
        </is>
      </c>
      <c r="P82" s="2" t="inlineStr">
        <is>
          <t>HtnSch_AHU</t>
        </is>
      </c>
      <c r="Q82" s="2" t="inlineStr">
        <is>
          <t>ClnSch_AHU</t>
        </is>
      </c>
      <c r="R82" s="2" t="n">
        <v>70</v>
      </c>
      <c r="S82" s="2" t="n">
        <v>40</v>
      </c>
      <c r="T82" s="2" t="inlineStr">
        <is>
          <t>Generic room Heating</t>
        </is>
      </c>
      <c r="U82" s="2" t="inlineStr">
        <is>
          <t>Generic room Cooling</t>
        </is>
      </c>
      <c r="V82" s="2" t="n">
        <v>0.0001</v>
      </c>
      <c r="W82" s="2" t="n">
        <v>8</v>
      </c>
      <c r="X82" s="2" t="n">
        <v>1</v>
      </c>
    </row>
    <row r="83">
      <c r="A83" s="2" t="inlineStr">
        <is>
          <t>B10</t>
        </is>
      </c>
      <c r="B83" s="2" t="inlineStr">
        <is>
          <t>zone16</t>
        </is>
      </c>
      <c r="C83" s="2" t="n">
        <v>0.6</v>
      </c>
      <c r="D83" s="2" t="inlineStr">
        <is>
          <t>OccSch_A1.1</t>
        </is>
      </c>
      <c r="E83" s="2" t="n">
        <v>6</v>
      </c>
      <c r="F83" s="2" t="inlineStr">
        <is>
          <t>LghSch_A1.1</t>
        </is>
      </c>
      <c r="G83" s="2" t="n">
        <v>0</v>
      </c>
      <c r="H83" s="2" t="n">
        <v>10</v>
      </c>
      <c r="I83" s="2" t="inlineStr">
        <is>
          <t>EqpSch_A1.1</t>
        </is>
      </c>
      <c r="J83" s="2" t="n">
        <v>0.007</v>
      </c>
      <c r="K83" s="2">
        <f>IF(J83="","",J83*1000)</f>
        <v/>
      </c>
      <c r="L83" s="2" t="n">
        <v>0.00144286</v>
      </c>
      <c r="M83" s="2">
        <f>IF(L83="","",L83*1000)</f>
        <v/>
      </c>
      <c r="N83" s="2" t="inlineStr">
        <is>
          <t>Maximum</t>
        </is>
      </c>
      <c r="O83" s="2" t="inlineStr">
        <is>
          <t>VntSch_AHU</t>
        </is>
      </c>
      <c r="P83" s="2" t="inlineStr">
        <is>
          <t>HtnSch_AHU</t>
        </is>
      </c>
      <c r="Q83" s="2" t="inlineStr">
        <is>
          <t>ClnSch_AHU</t>
        </is>
      </c>
      <c r="R83" s="2" t="n">
        <v>70</v>
      </c>
      <c r="S83" s="2" t="n">
        <v>40</v>
      </c>
      <c r="T83" s="2" t="inlineStr">
        <is>
          <t>Generic room Heating</t>
        </is>
      </c>
      <c r="U83" s="2" t="inlineStr">
        <is>
          <t>Generic room Cooling</t>
        </is>
      </c>
      <c r="V83" s="2" t="n">
        <v>0.0001</v>
      </c>
      <c r="W83" s="2" t="n">
        <v>7</v>
      </c>
      <c r="X83" s="2" t="n">
        <v>3</v>
      </c>
    </row>
    <row r="84">
      <c r="A84" s="2" t="inlineStr">
        <is>
          <t>B10</t>
        </is>
      </c>
      <c r="B84" s="2" t="inlineStr">
        <is>
          <t>zone17</t>
        </is>
      </c>
      <c r="C84" s="2" t="n">
        <v>0</v>
      </c>
      <c r="D84" s="2" t="inlineStr">
        <is>
          <t>OccSch_Unoccupied</t>
        </is>
      </c>
      <c r="E84" s="2" t="n">
        <v>6</v>
      </c>
      <c r="F84" s="2" t="inlineStr">
        <is>
          <t>LghSch_Costant</t>
        </is>
      </c>
      <c r="G84" s="2" t="n">
        <v>0</v>
      </c>
      <c r="H84" s="2" t="n">
        <v>2</v>
      </c>
      <c r="I84" s="2" t="inlineStr">
        <is>
          <t>EqpSch_Costant</t>
        </is>
      </c>
      <c r="J84" s="2" t="n">
        <v>0</v>
      </c>
      <c r="K84" s="2">
        <f>IF(J84="","",J84*1000)</f>
        <v/>
      </c>
      <c r="L84" s="2" t="n">
        <v>0</v>
      </c>
      <c r="M84" s="2">
        <f>IF(L84="","",L84*1000)</f>
        <v/>
      </c>
      <c r="N84" s="2" t="inlineStr">
        <is>
          <t>Maximum</t>
        </is>
      </c>
      <c r="O84" s="2" t="inlineStr">
        <is>
          <t>VntSch_AHU</t>
        </is>
      </c>
      <c r="P84" s="2" t="inlineStr">
        <is>
          <t>HtnSch_AHU</t>
        </is>
      </c>
      <c r="Q84" s="2" t="inlineStr">
        <is>
          <t>ClnSch_AHU</t>
        </is>
      </c>
      <c r="R84" s="2" t="n">
        <v>70</v>
      </c>
      <c r="S84" s="2" t="n">
        <v>40</v>
      </c>
      <c r="T84" s="2" t="inlineStr">
        <is>
          <t>Generic room Heating</t>
        </is>
      </c>
      <c r="U84" s="2" t="inlineStr">
        <is>
          <t>Generic room Cooling</t>
        </is>
      </c>
      <c r="V84" s="2" t="n">
        <v>0.0001</v>
      </c>
      <c r="W84" s="2" t="n">
        <v>6</v>
      </c>
      <c r="X84" s="2" t="n">
        <v>0</v>
      </c>
    </row>
    <row r="85">
      <c r="A85" s="2" t="inlineStr">
        <is>
          <t>B10</t>
        </is>
      </c>
      <c r="B85" s="2" t="inlineStr">
        <is>
          <t>zone18</t>
        </is>
      </c>
      <c r="C85" s="2" t="n">
        <v>0.6</v>
      </c>
      <c r="D85" s="2" t="inlineStr">
        <is>
          <t>OccSch_A1.3</t>
        </is>
      </c>
      <c r="E85" s="2" t="n">
        <v>6</v>
      </c>
      <c r="F85" s="2" t="inlineStr">
        <is>
          <t>LghSch_A1.3</t>
        </is>
      </c>
      <c r="G85" s="2" t="n">
        <v>0</v>
      </c>
      <c r="H85" s="2" t="n">
        <v>10</v>
      </c>
      <c r="I85" s="2" t="inlineStr">
        <is>
          <t>EqpSch_A1.3</t>
        </is>
      </c>
      <c r="J85" s="2" t="n">
        <v>0.007</v>
      </c>
      <c r="K85" s="2">
        <f>IF(J85="","",J85*1000)</f>
        <v/>
      </c>
      <c r="L85" s="2" t="n">
        <v>0.00297108</v>
      </c>
      <c r="M85" s="2">
        <f>IF(L85="","",L85*1000)</f>
        <v/>
      </c>
      <c r="N85" s="2" t="inlineStr">
        <is>
          <t>Maximum</t>
        </is>
      </c>
      <c r="O85" s="2" t="inlineStr">
        <is>
          <t>VntSch_AHU</t>
        </is>
      </c>
      <c r="P85" s="2" t="inlineStr">
        <is>
          <t>HtnSch_AHU</t>
        </is>
      </c>
      <c r="Q85" s="2" t="inlineStr">
        <is>
          <t>ClnSch_AHU</t>
        </is>
      </c>
      <c r="R85" s="2" t="n">
        <v>70</v>
      </c>
      <c r="S85" s="2" t="n">
        <v>40</v>
      </c>
      <c r="T85" s="2" t="inlineStr">
        <is>
          <t>Generic room Heating</t>
        </is>
      </c>
      <c r="U85" s="2" t="inlineStr">
        <is>
          <t>Generic room Cooling</t>
        </is>
      </c>
      <c r="V85" s="2" t="n">
        <v>0.0001</v>
      </c>
      <c r="W85" s="2" t="n">
        <v>17</v>
      </c>
      <c r="X85" s="2" t="n">
        <v>2</v>
      </c>
    </row>
    <row r="86">
      <c r="A86" s="2" t="inlineStr">
        <is>
          <t>B10</t>
        </is>
      </c>
      <c r="B86" s="2" t="inlineStr">
        <is>
          <t>zone19</t>
        </is>
      </c>
      <c r="C86" s="2" t="n">
        <v>0.6</v>
      </c>
      <c r="D86" s="2" t="inlineStr">
        <is>
          <t>OccSch_A0.1/A0.2</t>
        </is>
      </c>
      <c r="E86" s="2" t="n">
        <v>6</v>
      </c>
      <c r="F86" s="2" t="inlineStr">
        <is>
          <t>LghSch_A0.1/A0.2</t>
        </is>
      </c>
      <c r="G86" s="2" t="n">
        <v>0</v>
      </c>
      <c r="H86" s="2" t="n">
        <v>10</v>
      </c>
      <c r="I86" s="2" t="inlineStr">
        <is>
          <t>EqpSch_A0.1/A0.2</t>
        </is>
      </c>
      <c r="J86" s="2" t="n">
        <v>0.007</v>
      </c>
      <c r="K86" s="2">
        <f>IF(J86="","",J86*1000)</f>
        <v/>
      </c>
      <c r="L86" s="2" t="n">
        <v>0.00156475</v>
      </c>
      <c r="M86" s="2">
        <f>IF(L86="","",L86*1000)</f>
        <v/>
      </c>
      <c r="N86" s="2" t="inlineStr">
        <is>
          <t>Maximum</t>
        </is>
      </c>
      <c r="O86" s="2" t="inlineStr">
        <is>
          <t>VntSch_AHU</t>
        </is>
      </c>
      <c r="P86" s="2" t="inlineStr">
        <is>
          <t>HtnSch_AHU</t>
        </is>
      </c>
      <c r="Q86" s="2" t="inlineStr">
        <is>
          <t>ClnSch_AHU</t>
        </is>
      </c>
      <c r="R86" s="2" t="n">
        <v>70</v>
      </c>
      <c r="S86" s="2" t="n">
        <v>40</v>
      </c>
      <c r="T86" s="2" t="inlineStr">
        <is>
          <t>Generic room Heating</t>
        </is>
      </c>
      <c r="U86" s="2" t="inlineStr">
        <is>
          <t>Generic room Cooling</t>
        </is>
      </c>
      <c r="V86" s="2" t="n">
        <v>0.0001</v>
      </c>
      <c r="W86" s="2" t="n">
        <v>11</v>
      </c>
      <c r="X86" s="2" t="n">
        <v>4</v>
      </c>
    </row>
  </sheetData>
  <autoFilter ref="A1:X86"/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25"/>
  <cols>
    <col width="8" customWidth="1" min="1" max="1"/>
    <col width="36" customWidth="1" min="2" max="2"/>
    <col width="22" customWidth="1" min="3" max="3"/>
    <col width="24" customWidth="1" min="4" max="4"/>
    <col width="10" customWidth="1" min="5" max="5"/>
    <col width="7" customWidth="1" min="6" max="6"/>
    <col width="10" customWidth="1" min="7" max="7"/>
    <col width="9" customWidth="1" min="8" max="9"/>
    <col width="10" customWidth="1" min="10" max="10"/>
    <col width="9" customWidth="1" min="11" max="12"/>
    <col width="28" customWidth="1" min="13" max="13"/>
    <col width="9" customWidth="1" min="14" max="14"/>
    <col width="8" customWidth="1" min="15" max="15"/>
    <col width="9" customWidth="1" min="16" max="16"/>
    <col width="10" customWidth="1" min="17" max="17"/>
  </cols>
  <sheetData>
    <row r="1" ht="52.5" customHeight="1">
      <c r="A1" s="1" t="inlineStr">
        <is>
          <t>Building</t>
        </is>
      </c>
      <c r="B1" s="1" t="inlineStr">
        <is>
          <t>Construction</t>
        </is>
      </c>
      <c r="C1" s="1" t="inlineStr">
        <is>
          <t>Category</t>
        </is>
      </c>
      <c r="D1" s="1" t="inlineStr">
        <is>
          <t>Source</t>
        </is>
      </c>
      <c r="E1" s="1" t="inlineStr">
        <is>
          <t>IFC elements with this type</t>
        </is>
      </c>
      <c r="F1" s="1" t="inlineStr">
        <is>
          <t>N layers</t>
        </is>
      </c>
      <c r="G1" s="1" t="inlineStr">
        <is>
          <t>Total thickness (m)</t>
        </is>
      </c>
      <c r="H1" s="1" t="inlineStr">
        <is>
          <t>Rsi (m²K/W)</t>
        </is>
      </c>
      <c r="I1" s="1" t="inlineStr">
        <is>
          <t>Rse (m²K/W)</t>
        </is>
      </c>
      <c r="J1" s="1" t="inlineStr">
        <is>
          <t>R layers (m²K/W)</t>
        </is>
      </c>
      <c r="K1" s="1" t="inlineStr">
        <is>
          <t>U (W/m²K)</t>
        </is>
      </c>
      <c r="L1" s="1" t="inlineStr">
        <is>
          <t>N surfaces in IDF</t>
        </is>
      </c>
      <c r="M1" s="1" t="inlineStr">
        <is>
          <t>Surface types</t>
        </is>
      </c>
      <c r="N1" s="1" t="inlineStr">
        <is>
          <t>Outdoors</t>
        </is>
      </c>
      <c r="O1" s="1" t="inlineStr">
        <is>
          <t>Ground</t>
        </is>
      </c>
      <c r="P1" s="1" t="inlineStr">
        <is>
          <t>Adiabatic</t>
        </is>
      </c>
      <c r="Q1" s="1" t="inlineStr">
        <is>
          <t>Surface (interzone)</t>
        </is>
      </c>
    </row>
    <row r="2">
      <c r="A2" s="2" t="inlineStr">
        <is>
          <t>B09</t>
        </is>
      </c>
      <c r="B2" s="2" t="inlineStr">
        <is>
          <t>Generic Interior Wall</t>
        </is>
      </c>
      <c r="C2" s="2" t="inlineStr">
        <is>
          <t>Internal partition</t>
        </is>
      </c>
      <c r="D2" s="2" t="inlineStr">
        <is>
          <t>HB default (no BIM match)</t>
        </is>
      </c>
      <c r="E2" s="2" t="n">
        <v>0</v>
      </c>
      <c r="F2" s="2" t="n">
        <v>3</v>
      </c>
      <c r="G2" s="21">
        <f>SUMIFS(Val_Layers!$F$2:$F$220,Val_Layers!$A$2:$A$220,A2,Val_Layers!$B$2:$B$220,B2)</f>
        <v/>
      </c>
      <c r="H2" s="12" t="n">
        <v>0.13</v>
      </c>
      <c r="I2" s="12" t="n">
        <v>0.13</v>
      </c>
      <c r="J2" s="21">
        <f>SUMIFS(Val_Layers!$N$2:$N$220,Val_Layers!$A$2:$A$220,A2,Val_Layers!$B$2:$B$220,B2)</f>
        <v/>
      </c>
      <c r="K2" s="5">
        <f>1/(H2+J2+I2)</f>
        <v/>
      </c>
      <c r="L2" s="2" t="n">
        <v>94</v>
      </c>
      <c r="M2" s="2" t="inlineStr">
        <is>
          <t>Wall (×94)</t>
        </is>
      </c>
      <c r="N2" s="2" t="n">
        <v>0</v>
      </c>
      <c r="O2" s="2" t="n">
        <v>0</v>
      </c>
      <c r="P2" s="2" t="n">
        <v>0</v>
      </c>
      <c r="Q2" s="2" t="n">
        <v>94</v>
      </c>
    </row>
    <row r="3">
      <c r="A3" s="2" t="inlineStr">
        <is>
          <t>B09</t>
        </is>
      </c>
      <c r="B3" s="2" t="inlineStr">
        <is>
          <t>Generic Interior Floor</t>
        </is>
      </c>
      <c r="C3" s="2" t="inlineStr">
        <is>
          <t>Internal floor</t>
        </is>
      </c>
      <c r="D3" s="2" t="inlineStr">
        <is>
          <t>HB default (no BIM match)</t>
        </is>
      </c>
      <c r="E3" s="2" t="n">
        <v>0</v>
      </c>
      <c r="F3" s="2" t="n">
        <v>3</v>
      </c>
      <c r="G3" s="21">
        <f>SUMIFS(Val_Layers!$F$2:$F$220,Val_Layers!$A$2:$A$220,A3,Val_Layers!$B$2:$B$220,B3)</f>
        <v/>
      </c>
      <c r="H3" s="12" t="n">
        <v>0.1</v>
      </c>
      <c r="I3" s="12" t="n">
        <v>0.1</v>
      </c>
      <c r="J3" s="21">
        <f>SUMIFS(Val_Layers!$N$2:$N$220,Val_Layers!$A$2:$A$220,A3,Val_Layers!$B$2:$B$220,B3)</f>
        <v/>
      </c>
      <c r="K3" s="5">
        <f>1/(H3+J3+I3)</f>
        <v/>
      </c>
      <c r="L3" s="2" t="n">
        <v>360</v>
      </c>
      <c r="M3" s="2" t="inlineStr">
        <is>
          <t>Wall (×225); Floor (×135)</t>
        </is>
      </c>
      <c r="N3" s="2" t="n">
        <v>0</v>
      </c>
      <c r="O3" s="2" t="n">
        <v>0</v>
      </c>
      <c r="P3" s="2" t="n">
        <v>0</v>
      </c>
      <c r="Q3" s="2" t="n">
        <v>360</v>
      </c>
    </row>
    <row r="4">
      <c r="A4" s="2" t="inlineStr">
        <is>
          <t>B09</t>
        </is>
      </c>
      <c r="B4" s="2" t="inlineStr">
        <is>
          <t>Generic Ground Slab</t>
        </is>
      </c>
      <c r="C4" s="2" t="inlineStr">
        <is>
          <t>Ground floor</t>
        </is>
      </c>
      <c r="D4" s="2" t="inlineStr">
        <is>
          <t>HB default (no BIM match)</t>
        </is>
      </c>
      <c r="E4" s="2" t="n">
        <v>0</v>
      </c>
      <c r="F4" s="2" t="n">
        <v>2</v>
      </c>
      <c r="G4" s="21">
        <f>SUMIFS(Val_Layers!$F$2:$F$220,Val_Layers!$A$2:$A$220,A4,Val_Layers!$B$2:$B$220,B4)</f>
        <v/>
      </c>
      <c r="H4" s="12" t="n">
        <v>0.17</v>
      </c>
      <c r="I4" s="12" t="n">
        <v>0</v>
      </c>
      <c r="J4" s="21">
        <f>SUMIFS(Val_Layers!$N$2:$N$220,Val_Layers!$A$2:$A$220,A4,Val_Layers!$B$2:$B$220,B4)</f>
        <v/>
      </c>
      <c r="K4" s="5">
        <f>1/(H4+J4+I4)</f>
        <v/>
      </c>
      <c r="L4" s="2" t="n">
        <v>1</v>
      </c>
      <c r="M4" s="2" t="inlineStr">
        <is>
          <t>Floor (×1)</t>
        </is>
      </c>
      <c r="N4" s="2" t="n">
        <v>0</v>
      </c>
      <c r="O4" s="2" t="n">
        <v>1</v>
      </c>
      <c r="P4" s="2" t="n">
        <v>0</v>
      </c>
      <c r="Q4" s="2" t="n">
        <v>0</v>
      </c>
    </row>
    <row r="5">
      <c r="A5" s="2" t="inlineStr">
        <is>
          <t>B09</t>
        </is>
      </c>
      <c r="B5" s="2" t="inlineStr">
        <is>
          <t>WL_POLIMI-LC_EW04</t>
        </is>
      </c>
      <c r="C5" s="2" t="inlineStr">
        <is>
          <t>External wall</t>
        </is>
      </c>
      <c r="D5" s="2" t="inlineStr">
        <is>
          <t>IFC IfcMaterialLayerSet</t>
        </is>
      </c>
      <c r="E5" s="2" t="n">
        <v>14</v>
      </c>
      <c r="F5" s="2" t="n">
        <v>7</v>
      </c>
      <c r="G5" s="21">
        <f>SUMIFS(Val_Layers!$F$2:$F$220,Val_Layers!$A$2:$A$220,A5,Val_Layers!$B$2:$B$220,B5)</f>
        <v/>
      </c>
      <c r="H5" s="12" t="n">
        <v>0.13</v>
      </c>
      <c r="I5" s="12" t="n">
        <v>0.04</v>
      </c>
      <c r="J5" s="21">
        <f>SUMIFS(Val_Layers!$N$2:$N$220,Val_Layers!$A$2:$A$220,A5,Val_Layers!$B$2:$B$220,B5)</f>
        <v/>
      </c>
      <c r="K5" s="5">
        <f>1/(H5+J5+I5)</f>
        <v/>
      </c>
      <c r="L5" s="2" t="n">
        <v>11</v>
      </c>
      <c r="M5" s="2" t="inlineStr">
        <is>
          <t>Wall (×11)</t>
        </is>
      </c>
      <c r="N5" s="2" t="n">
        <v>11</v>
      </c>
      <c r="O5" s="2" t="n">
        <v>0</v>
      </c>
      <c r="P5" s="2" t="n">
        <v>0</v>
      </c>
      <c r="Q5" s="2" t="n">
        <v>0</v>
      </c>
    </row>
    <row r="6">
      <c r="A6" s="2" t="inlineStr">
        <is>
          <t>B09</t>
        </is>
      </c>
      <c r="B6" s="2" t="inlineStr">
        <is>
          <t>WL_POLIMI-LC_EW01</t>
        </is>
      </c>
      <c r="C6" s="2" t="inlineStr">
        <is>
          <t>External wall</t>
        </is>
      </c>
      <c r="D6" s="2" t="inlineStr">
        <is>
          <t>IFC IfcMaterialLayerSet</t>
        </is>
      </c>
      <c r="E6" s="2" t="n">
        <v>3</v>
      </c>
      <c r="F6" s="2" t="n">
        <v>8</v>
      </c>
      <c r="G6" s="21">
        <f>SUMIFS(Val_Layers!$F$2:$F$220,Val_Layers!$A$2:$A$220,A6,Val_Layers!$B$2:$B$220,B6)</f>
        <v/>
      </c>
      <c r="H6" s="12" t="n">
        <v>0.13</v>
      </c>
      <c r="I6" s="12" t="n">
        <v>0.04</v>
      </c>
      <c r="J6" s="21">
        <f>SUMIFS(Val_Layers!$N$2:$N$220,Val_Layers!$A$2:$A$220,A6,Val_Layers!$B$2:$B$220,B6)</f>
        <v/>
      </c>
      <c r="K6" s="5">
        <f>1/(H6+J6+I6)</f>
        <v/>
      </c>
      <c r="L6" s="2" t="n">
        <v>3</v>
      </c>
      <c r="M6" s="2" t="inlineStr">
        <is>
          <t>Wall (×3)</t>
        </is>
      </c>
      <c r="N6" s="2" t="n">
        <v>2</v>
      </c>
      <c r="O6" s="2" t="n">
        <v>0</v>
      </c>
      <c r="P6" s="2" t="n">
        <v>1</v>
      </c>
      <c r="Q6" s="2" t="n">
        <v>0</v>
      </c>
    </row>
    <row r="7">
      <c r="A7" s="2" t="inlineStr">
        <is>
          <t>B09</t>
        </is>
      </c>
      <c r="B7" s="2" t="inlineStr">
        <is>
          <t>WL_POLIMI-LC_EW03</t>
        </is>
      </c>
      <c r="C7" s="2" t="inlineStr">
        <is>
          <t>External wall</t>
        </is>
      </c>
      <c r="D7" s="2" t="inlineStr">
        <is>
          <t>IFC IfcMaterialLayerSet</t>
        </is>
      </c>
      <c r="E7" s="2" t="n">
        <v>67</v>
      </c>
      <c r="F7" s="2" t="n">
        <v>9</v>
      </c>
      <c r="G7" s="21">
        <f>SUMIFS(Val_Layers!$F$2:$F$220,Val_Layers!$A$2:$A$220,A7,Val_Layers!$B$2:$B$220,B7)</f>
        <v/>
      </c>
      <c r="H7" s="12" t="n">
        <v>0.13</v>
      </c>
      <c r="I7" s="12" t="n">
        <v>0.04</v>
      </c>
      <c r="J7" s="21">
        <f>SUMIFS(Val_Layers!$N$2:$N$220,Val_Layers!$A$2:$A$220,A7,Val_Layers!$B$2:$B$220,B7)</f>
        <v/>
      </c>
      <c r="K7" s="5">
        <f>1/(H7+J7+I7)</f>
        <v/>
      </c>
      <c r="L7" s="2" t="n">
        <v>13</v>
      </c>
      <c r="M7" s="2" t="inlineStr">
        <is>
          <t>Wall (×13)</t>
        </is>
      </c>
      <c r="N7" s="2" t="n">
        <v>13</v>
      </c>
      <c r="O7" s="2" t="n">
        <v>0</v>
      </c>
      <c r="P7" s="2" t="n">
        <v>0</v>
      </c>
      <c r="Q7" s="2" t="n">
        <v>0</v>
      </c>
    </row>
    <row r="8">
      <c r="A8" s="2" t="inlineStr">
        <is>
          <t>B09</t>
        </is>
      </c>
      <c r="B8" s="2" t="inlineStr">
        <is>
          <t>WL_POLIMI-LC_EW05</t>
        </is>
      </c>
      <c r="C8" s="2" t="inlineStr">
        <is>
          <t>External wall</t>
        </is>
      </c>
      <c r="D8" s="2" t="inlineStr">
        <is>
          <t>IFC IfcMaterialLayerSet</t>
        </is>
      </c>
      <c r="E8" s="2" t="n">
        <v>34</v>
      </c>
      <c r="F8" s="2" t="n">
        <v>9</v>
      </c>
      <c r="G8" s="21">
        <f>SUMIFS(Val_Layers!$F$2:$F$220,Val_Layers!$A$2:$A$220,A8,Val_Layers!$B$2:$B$220,B8)</f>
        <v/>
      </c>
      <c r="H8" s="12" t="n">
        <v>0.13</v>
      </c>
      <c r="I8" s="12" t="n">
        <v>0.04</v>
      </c>
      <c r="J8" s="21">
        <f>SUMIFS(Val_Layers!$N$2:$N$220,Val_Layers!$A$2:$A$220,A8,Val_Layers!$B$2:$B$220,B8)</f>
        <v/>
      </c>
      <c r="K8" s="5">
        <f>1/(H8+J8+I8)</f>
        <v/>
      </c>
      <c r="L8" s="2" t="n">
        <v>36</v>
      </c>
      <c r="M8" s="2" t="inlineStr">
        <is>
          <t>Wall (×36)</t>
        </is>
      </c>
      <c r="N8" s="2" t="n">
        <v>34</v>
      </c>
      <c r="O8" s="2" t="n">
        <v>0</v>
      </c>
      <c r="P8" s="2" t="n">
        <v>0</v>
      </c>
      <c r="Q8" s="2" t="n">
        <v>2</v>
      </c>
    </row>
    <row r="9">
      <c r="A9" s="2" t="inlineStr">
        <is>
          <t>B09</t>
        </is>
      </c>
      <c r="B9" s="2" t="inlineStr">
        <is>
          <t>WL_POLIMI-LC_EW02</t>
        </is>
      </c>
      <c r="C9" s="2" t="inlineStr">
        <is>
          <t>External wall</t>
        </is>
      </c>
      <c r="D9" s="2" t="inlineStr">
        <is>
          <t>IFC IfcMaterialLayerSet</t>
        </is>
      </c>
      <c r="E9" s="2" t="n">
        <v>9</v>
      </c>
      <c r="F9" s="2" t="n">
        <v>8</v>
      </c>
      <c r="G9" s="21">
        <f>SUMIFS(Val_Layers!$F$2:$F$220,Val_Layers!$A$2:$A$220,A9,Val_Layers!$B$2:$B$220,B9)</f>
        <v/>
      </c>
      <c r="H9" s="12" t="n">
        <v>0.13</v>
      </c>
      <c r="I9" s="12" t="n">
        <v>0.04</v>
      </c>
      <c r="J9" s="21">
        <f>SUMIFS(Val_Layers!$N$2:$N$220,Val_Layers!$A$2:$A$220,A9,Val_Layers!$B$2:$B$220,B9)</f>
        <v/>
      </c>
      <c r="K9" s="5">
        <f>1/(H9+J9+I9)</f>
        <v/>
      </c>
      <c r="L9" s="2" t="n">
        <v>156</v>
      </c>
      <c r="M9" s="2" t="inlineStr">
        <is>
          <t>Wall (×156)</t>
        </is>
      </c>
      <c r="N9" s="2" t="n">
        <v>147</v>
      </c>
      <c r="O9" s="2" t="n">
        <v>5</v>
      </c>
      <c r="P9" s="2" t="n">
        <v>4</v>
      </c>
      <c r="Q9" s="2" t="n">
        <v>0</v>
      </c>
    </row>
    <row r="10">
      <c r="A10" s="2" t="inlineStr">
        <is>
          <t>B09</t>
        </is>
      </c>
      <c r="B10" s="2" t="inlineStr">
        <is>
          <t>WL_POLIMI-LC_FC300-2</t>
        </is>
      </c>
      <c r="C10" s="2" t="inlineStr">
        <is>
          <t>External wall</t>
        </is>
      </c>
      <c r="D10" s="2" t="inlineStr">
        <is>
          <t>IFC IfcMaterialLayerSet</t>
        </is>
      </c>
      <c r="E10" s="2" t="n">
        <v>69</v>
      </c>
      <c r="F10" s="2" t="n">
        <v>5</v>
      </c>
      <c r="G10" s="21">
        <f>SUMIFS(Val_Layers!$F$2:$F$220,Val_Layers!$A$2:$A$220,A10,Val_Layers!$B$2:$B$220,B10)</f>
        <v/>
      </c>
      <c r="H10" s="12" t="n">
        <v>0.13</v>
      </c>
      <c r="I10" s="12" t="n">
        <v>0.04</v>
      </c>
      <c r="J10" s="21">
        <f>SUMIFS(Val_Layers!$N$2:$N$220,Val_Layers!$A$2:$A$220,A10,Val_Layers!$B$2:$B$220,B10)</f>
        <v/>
      </c>
      <c r="K10" s="5">
        <f>1/(H10+J10+I10)</f>
        <v/>
      </c>
      <c r="L10" s="2" t="n">
        <v>54</v>
      </c>
      <c r="M10" s="2" t="inlineStr">
        <is>
          <t>Wall (×54)</t>
        </is>
      </c>
      <c r="N10" s="2" t="n">
        <v>36</v>
      </c>
      <c r="O10" s="2" t="n">
        <v>12</v>
      </c>
      <c r="P10" s="2" t="n">
        <v>0</v>
      </c>
      <c r="Q10" s="2" t="n">
        <v>6</v>
      </c>
    </row>
    <row r="11">
      <c r="A11" s="2" t="inlineStr">
        <is>
          <t>B09</t>
        </is>
      </c>
      <c r="B11" s="2" t="inlineStr">
        <is>
          <t>WL_POLIMI-LC_FC300-3</t>
        </is>
      </c>
      <c r="C11" s="2" t="inlineStr">
        <is>
          <t>External wall</t>
        </is>
      </c>
      <c r="D11" s="2" t="inlineStr">
        <is>
          <t>IFC IfcMaterialLayerSet</t>
        </is>
      </c>
      <c r="E11" s="2" t="n">
        <v>11</v>
      </c>
      <c r="F11" s="2" t="n">
        <v>8</v>
      </c>
      <c r="G11" s="21">
        <f>SUMIFS(Val_Layers!$F$2:$F$220,Val_Layers!$A$2:$A$220,A11,Val_Layers!$B$2:$B$220,B11)</f>
        <v/>
      </c>
      <c r="H11" s="12" t="n">
        <v>0.13</v>
      </c>
      <c r="I11" s="12" t="n">
        <v>0.04</v>
      </c>
      <c r="J11" s="21">
        <f>SUMIFS(Val_Layers!$N$2:$N$220,Val_Layers!$A$2:$A$220,A11,Val_Layers!$B$2:$B$220,B11)</f>
        <v/>
      </c>
      <c r="K11" s="5">
        <f>1/(H11+J11+I11)</f>
        <v/>
      </c>
      <c r="L11" s="2" t="n">
        <v>21</v>
      </c>
      <c r="M11" s="2" t="inlineStr">
        <is>
          <t>Wall (×21)</t>
        </is>
      </c>
      <c r="N11" s="2" t="n">
        <v>1</v>
      </c>
      <c r="O11" s="2" t="n">
        <v>0</v>
      </c>
      <c r="P11" s="2" t="n">
        <v>0</v>
      </c>
      <c r="Q11" s="2" t="n">
        <v>20</v>
      </c>
    </row>
    <row r="12">
      <c r="A12" s="2" t="inlineStr">
        <is>
          <t>B09</t>
        </is>
      </c>
      <c r="B12" s="2" t="inlineStr">
        <is>
          <t>WL_POLIMI-LC_IW02</t>
        </is>
      </c>
      <c r="C12" s="2" t="inlineStr">
        <is>
          <t>Internal partition</t>
        </is>
      </c>
      <c r="D12" s="2" t="inlineStr">
        <is>
          <t>IFC IfcMaterialLayerSet</t>
        </is>
      </c>
      <c r="E12" s="2" t="n">
        <v>202</v>
      </c>
      <c r="F12" s="2" t="n">
        <v>7</v>
      </c>
      <c r="G12" s="21">
        <f>SUMIFS(Val_Layers!$F$2:$F$220,Val_Layers!$A$2:$A$220,A12,Val_Layers!$B$2:$B$220,B12)</f>
        <v/>
      </c>
      <c r="H12" s="12" t="n">
        <v>0.13</v>
      </c>
      <c r="I12" s="12" t="n">
        <v>0.13</v>
      </c>
      <c r="J12" s="21">
        <f>SUMIFS(Val_Layers!$N$2:$N$220,Val_Layers!$A$2:$A$220,A12,Val_Layers!$B$2:$B$220,B12)</f>
        <v/>
      </c>
      <c r="K12" s="5">
        <f>1/(H12+J12+I12)</f>
        <v/>
      </c>
      <c r="L12" s="2" t="n">
        <v>448</v>
      </c>
      <c r="M12" s="2" t="inlineStr">
        <is>
          <t>Wall (×448)</t>
        </is>
      </c>
      <c r="N12" s="2" t="n">
        <v>2</v>
      </c>
      <c r="O12" s="2" t="n">
        <v>0</v>
      </c>
      <c r="P12" s="2" t="n">
        <v>0</v>
      </c>
      <c r="Q12" s="2" t="n">
        <v>446</v>
      </c>
    </row>
    <row r="13">
      <c r="A13" s="2" t="inlineStr">
        <is>
          <t>B09</t>
        </is>
      </c>
      <c r="B13" s="2" t="inlineStr">
        <is>
          <t>WL_POLIMI-LC_IW03</t>
        </is>
      </c>
      <c r="C13" s="2" t="inlineStr">
        <is>
          <t>Internal partition</t>
        </is>
      </c>
      <c r="D13" s="2" t="inlineStr">
        <is>
          <t>IFC IfcMaterialLayerSet</t>
        </is>
      </c>
      <c r="E13" s="2" t="n">
        <v>195</v>
      </c>
      <c r="F13" s="2" t="n">
        <v>3</v>
      </c>
      <c r="G13" s="21">
        <f>SUMIFS(Val_Layers!$F$2:$F$220,Val_Layers!$A$2:$A$220,A13,Val_Layers!$B$2:$B$220,B13)</f>
        <v/>
      </c>
      <c r="H13" s="12" t="n">
        <v>0.13</v>
      </c>
      <c r="I13" s="12" t="n">
        <v>0.13</v>
      </c>
      <c r="J13" s="21">
        <f>SUMIFS(Val_Layers!$N$2:$N$220,Val_Layers!$A$2:$A$220,A13,Val_Layers!$B$2:$B$220,B13)</f>
        <v/>
      </c>
      <c r="K13" s="5">
        <f>1/(H13+J13+I13)</f>
        <v/>
      </c>
      <c r="L13" s="2" t="n">
        <v>255</v>
      </c>
      <c r="M13" s="2" t="inlineStr">
        <is>
          <t>Wall (×255)</t>
        </is>
      </c>
      <c r="N13" s="2" t="n">
        <v>135</v>
      </c>
      <c r="O13" s="2" t="n">
        <v>0</v>
      </c>
      <c r="P13" s="2" t="n">
        <v>0</v>
      </c>
      <c r="Q13" s="2" t="n">
        <v>120</v>
      </c>
    </row>
    <row r="14">
      <c r="A14" s="2" t="inlineStr">
        <is>
          <t>B09</t>
        </is>
      </c>
      <c r="B14" s="2" t="inlineStr">
        <is>
          <t>WL_POLIMI-LC_IW04</t>
        </is>
      </c>
      <c r="C14" s="2" t="inlineStr">
        <is>
          <t>Internal partition</t>
        </is>
      </c>
      <c r="D14" s="2" t="inlineStr">
        <is>
          <t>IFC IfcMaterialLayerSet</t>
        </is>
      </c>
      <c r="E14" s="2" t="n">
        <v>25</v>
      </c>
      <c r="F14" s="2" t="n">
        <v>8</v>
      </c>
      <c r="G14" s="21">
        <f>SUMIFS(Val_Layers!$F$2:$F$220,Val_Layers!$A$2:$A$220,A14,Val_Layers!$B$2:$B$220,B14)</f>
        <v/>
      </c>
      <c r="H14" s="12" t="n">
        <v>0.13</v>
      </c>
      <c r="I14" s="12" t="n">
        <v>0.13</v>
      </c>
      <c r="J14" s="21">
        <f>SUMIFS(Val_Layers!$N$2:$N$220,Val_Layers!$A$2:$A$220,A14,Val_Layers!$B$2:$B$220,B14)</f>
        <v/>
      </c>
      <c r="K14" s="5">
        <f>1/(H14+J14+I14)</f>
        <v/>
      </c>
      <c r="L14" s="2" t="n">
        <v>58</v>
      </c>
      <c r="M14" s="2" t="inlineStr">
        <is>
          <t>Wall (×58)</t>
        </is>
      </c>
      <c r="N14" s="2" t="n">
        <v>0</v>
      </c>
      <c r="O14" s="2" t="n">
        <v>0</v>
      </c>
      <c r="P14" s="2" t="n">
        <v>0</v>
      </c>
      <c r="Q14" s="2" t="n">
        <v>58</v>
      </c>
    </row>
    <row r="15">
      <c r="A15" s="2" t="inlineStr">
        <is>
          <t>B09</t>
        </is>
      </c>
      <c r="B15" s="2" t="inlineStr">
        <is>
          <t>WL_POLIMI-LC_IW05_Toilet</t>
        </is>
      </c>
      <c r="C15" s="2" t="inlineStr">
        <is>
          <t>Internal partition</t>
        </is>
      </c>
      <c r="D15" s="2" t="inlineStr">
        <is>
          <t>IFC IfcMaterialLayerSet</t>
        </is>
      </c>
      <c r="E15" s="2" t="n">
        <v>34</v>
      </c>
      <c r="F15" s="2" t="n">
        <v>9</v>
      </c>
      <c r="G15" s="21">
        <f>SUMIFS(Val_Layers!$F$2:$F$220,Val_Layers!$A$2:$A$220,A15,Val_Layers!$B$2:$B$220,B15)</f>
        <v/>
      </c>
      <c r="H15" s="12" t="n">
        <v>0.13</v>
      </c>
      <c r="I15" s="12" t="n">
        <v>0.13</v>
      </c>
      <c r="J15" s="21">
        <f>SUMIFS(Val_Layers!$N$2:$N$220,Val_Layers!$A$2:$A$220,A15,Val_Layers!$B$2:$B$220,B15)</f>
        <v/>
      </c>
      <c r="K15" s="5">
        <f>1/(H15+J15+I15)</f>
        <v/>
      </c>
      <c r="L15" s="2" t="n">
        <v>52</v>
      </c>
      <c r="M15" s="2" t="inlineStr">
        <is>
          <t>Wall (×52)</t>
        </is>
      </c>
      <c r="N15" s="2" t="n">
        <v>16</v>
      </c>
      <c r="O15" s="2" t="n">
        <v>0</v>
      </c>
      <c r="P15" s="2" t="n">
        <v>0</v>
      </c>
      <c r="Q15" s="2" t="n">
        <v>36</v>
      </c>
    </row>
    <row r="16">
      <c r="A16" s="2" t="inlineStr">
        <is>
          <t>B09</t>
        </is>
      </c>
      <c r="B16" s="2" t="inlineStr">
        <is>
          <t>WL_POLIMI-LC_IW06_Toilet</t>
        </is>
      </c>
      <c r="C16" s="2" t="inlineStr">
        <is>
          <t>Internal partition</t>
        </is>
      </c>
      <c r="D16" s="2" t="inlineStr">
        <is>
          <t>IFC IfcMaterialLayerSet</t>
        </is>
      </c>
      <c r="E16" s="2" t="n">
        <v>21</v>
      </c>
      <c r="F16" s="2" t="n">
        <v>5</v>
      </c>
      <c r="G16" s="21">
        <f>SUMIFS(Val_Layers!$F$2:$F$220,Val_Layers!$A$2:$A$220,A16,Val_Layers!$B$2:$B$220,B16)</f>
        <v/>
      </c>
      <c r="H16" s="12" t="n">
        <v>0.13</v>
      </c>
      <c r="I16" s="12" t="n">
        <v>0.13</v>
      </c>
      <c r="J16" s="21">
        <f>SUMIFS(Val_Layers!$N$2:$N$220,Val_Layers!$A$2:$A$220,A16,Val_Layers!$B$2:$B$220,B16)</f>
        <v/>
      </c>
      <c r="K16" s="5">
        <f>1/(H16+J16+I16)</f>
        <v/>
      </c>
      <c r="L16" s="2" t="n">
        <v>21</v>
      </c>
      <c r="M16" s="2" t="inlineStr">
        <is>
          <t>Wall (×21)</t>
        </is>
      </c>
      <c r="N16" s="2" t="n">
        <v>21</v>
      </c>
      <c r="O16" s="2" t="n">
        <v>0</v>
      </c>
      <c r="P16" s="2" t="n">
        <v>0</v>
      </c>
      <c r="Q16" s="2" t="n">
        <v>0</v>
      </c>
    </row>
    <row r="17">
      <c r="A17" s="2" t="inlineStr">
        <is>
          <t>B09</t>
        </is>
      </c>
      <c r="B17" s="2" t="inlineStr">
        <is>
          <t>FL_POLIMI-LC_GroundFloor</t>
        </is>
      </c>
      <c r="C17" s="2" t="inlineStr">
        <is>
          <t>Ground floor</t>
        </is>
      </c>
      <c r="D17" s="2" t="inlineStr">
        <is>
          <t>IFC IfcMaterialLayerSet</t>
        </is>
      </c>
      <c r="E17" s="2" t="n">
        <v>47</v>
      </c>
      <c r="F17" s="2" t="n">
        <v>7</v>
      </c>
      <c r="G17" s="21">
        <f>SUMIFS(Val_Layers!$F$2:$F$220,Val_Layers!$A$2:$A$220,A17,Val_Layers!$B$2:$B$220,B17)</f>
        <v/>
      </c>
      <c r="H17" s="12" t="n">
        <v>0.17</v>
      </c>
      <c r="I17" s="12" t="n">
        <v>0</v>
      </c>
      <c r="J17" s="21">
        <f>SUMIFS(Val_Layers!$N$2:$N$220,Val_Layers!$A$2:$A$220,A17,Val_Layers!$B$2:$B$220,B17)</f>
        <v/>
      </c>
      <c r="K17" s="5">
        <f>1/(H17+J17+I17)</f>
        <v/>
      </c>
      <c r="L17" s="2" t="n">
        <v>46</v>
      </c>
      <c r="M17" s="2" t="inlineStr">
        <is>
          <t>Floor (×46)</t>
        </is>
      </c>
      <c r="N17" s="2" t="n">
        <v>1</v>
      </c>
      <c r="O17" s="2" t="n">
        <v>45</v>
      </c>
      <c r="P17" s="2" t="n">
        <v>0</v>
      </c>
      <c r="Q17" s="2" t="n">
        <v>0</v>
      </c>
    </row>
    <row r="18">
      <c r="A18" s="2" t="inlineStr">
        <is>
          <t>B09</t>
        </is>
      </c>
      <c r="B18" s="2" t="inlineStr">
        <is>
          <t>FL_POLIMI-LC_InternalFloor_IH-IH_Toilet</t>
        </is>
      </c>
      <c r="C18" s="2" t="inlineStr">
        <is>
          <t>Internal floor</t>
        </is>
      </c>
      <c r="D18" s="2" t="inlineStr">
        <is>
          <t>IFC IfcMaterialLayerSet</t>
        </is>
      </c>
      <c r="E18" s="2" t="n">
        <v>24</v>
      </c>
      <c r="F18" s="2" t="n">
        <v>5</v>
      </c>
      <c r="G18" s="21">
        <f>SUMIFS(Val_Layers!$F$2:$F$220,Val_Layers!$A$2:$A$220,A18,Val_Layers!$B$2:$B$220,B18)</f>
        <v/>
      </c>
      <c r="H18" s="12" t="n">
        <v>0.1</v>
      </c>
      <c r="I18" s="12" t="n">
        <v>0.1</v>
      </c>
      <c r="J18" s="21">
        <f>SUMIFS(Val_Layers!$N$2:$N$220,Val_Layers!$A$2:$A$220,A18,Val_Layers!$B$2:$B$220,B18)</f>
        <v/>
      </c>
      <c r="K18" s="5">
        <f>1/(H18+J18+I18)</f>
        <v/>
      </c>
      <c r="L18" s="2" t="n">
        <v>48</v>
      </c>
      <c r="M18" s="2" t="inlineStr">
        <is>
          <t>Floor (×28); Wall (×20)</t>
        </is>
      </c>
      <c r="N18" s="2" t="n">
        <v>0</v>
      </c>
      <c r="O18" s="2" t="n">
        <v>0</v>
      </c>
      <c r="P18" s="2" t="n">
        <v>0</v>
      </c>
      <c r="Q18" s="2" t="n">
        <v>48</v>
      </c>
    </row>
    <row r="19">
      <c r="A19" s="2" t="inlineStr">
        <is>
          <t>B09</t>
        </is>
      </c>
      <c r="B19" s="2" t="inlineStr">
        <is>
          <t>RF_POLIMI-LC_IH-E</t>
        </is>
      </c>
      <c r="C19" s="2" t="inlineStr">
        <is>
          <t>Roof</t>
        </is>
      </c>
      <c r="D19" s="2" t="inlineStr">
        <is>
          <t>Notebook (manual layers)</t>
        </is>
      </c>
      <c r="E19" s="2" t="n">
        <v>36</v>
      </c>
      <c r="F19" s="2" t="n">
        <v>4</v>
      </c>
      <c r="G19" s="21">
        <f>SUMIFS(Val_Layers!$F$2:$F$220,Val_Layers!$A$2:$A$220,A19,Val_Layers!$B$2:$B$220,B19)</f>
        <v/>
      </c>
      <c r="H19" s="12" t="n">
        <v>0.1</v>
      </c>
      <c r="I19" s="12" t="n">
        <v>0.04</v>
      </c>
      <c r="J19" s="21">
        <f>SUMIFS(Val_Layers!$N$2:$N$220,Val_Layers!$A$2:$A$220,A19,Val_Layers!$B$2:$B$220,B19)</f>
        <v/>
      </c>
      <c r="K19" s="5">
        <f>1/(H19+J19+I19)</f>
        <v/>
      </c>
      <c r="L19" s="2" t="n">
        <v>52</v>
      </c>
      <c r="M19" s="2" t="inlineStr">
        <is>
          <t>Roof (×50); Wall (×2)</t>
        </is>
      </c>
      <c r="N19" s="2" t="n">
        <v>52</v>
      </c>
      <c r="O19" s="2" t="n">
        <v>0</v>
      </c>
      <c r="P19" s="2" t="n">
        <v>0</v>
      </c>
      <c r="Q19" s="2" t="n">
        <v>0</v>
      </c>
    </row>
    <row r="20">
      <c r="A20" s="2" t="inlineStr">
        <is>
          <t>B10</t>
        </is>
      </c>
      <c r="B20" s="2" t="inlineStr">
        <is>
          <t>Generic Interior Wall</t>
        </is>
      </c>
      <c r="C20" s="2" t="inlineStr">
        <is>
          <t>Internal partition</t>
        </is>
      </c>
      <c r="D20" s="2" t="inlineStr">
        <is>
          <t>HB default (no BIM match)</t>
        </is>
      </c>
      <c r="E20" s="2" t="n">
        <v>0</v>
      </c>
      <c r="F20" s="2" t="n">
        <v>3</v>
      </c>
      <c r="G20" s="21">
        <f>SUMIFS(Val_Layers!$F$2:$F$220,Val_Layers!$A$2:$A$220,A20,Val_Layers!$B$2:$B$220,B20)</f>
        <v/>
      </c>
      <c r="H20" s="12" t="n">
        <v>0.13</v>
      </c>
      <c r="I20" s="12" t="n">
        <v>0.13</v>
      </c>
      <c r="J20" s="21">
        <f>SUMIFS(Val_Layers!$N$2:$N$220,Val_Layers!$A$2:$A$220,A20,Val_Layers!$B$2:$B$220,B20)</f>
        <v/>
      </c>
      <c r="K20" s="5">
        <f>1/(H20+J20+I20)</f>
        <v/>
      </c>
      <c r="L20" s="2" t="n">
        <v>4</v>
      </c>
      <c r="M20" s="2" t="inlineStr">
        <is>
          <t>Wall (×4)</t>
        </is>
      </c>
      <c r="N20" s="2" t="n">
        <v>0</v>
      </c>
      <c r="O20" s="2" t="n">
        <v>0</v>
      </c>
      <c r="P20" s="2" t="n">
        <v>0</v>
      </c>
      <c r="Q20" s="2" t="n">
        <v>4</v>
      </c>
    </row>
    <row r="21">
      <c r="A21" s="2" t="inlineStr">
        <is>
          <t>B10</t>
        </is>
      </c>
      <c r="B21" s="2" t="inlineStr">
        <is>
          <t>Generic Interior Floor</t>
        </is>
      </c>
      <c r="C21" s="2" t="inlineStr">
        <is>
          <t>Internal floor</t>
        </is>
      </c>
      <c r="D21" s="2" t="inlineStr">
        <is>
          <t>HB default (no BIM match)</t>
        </is>
      </c>
      <c r="E21" s="2" t="n">
        <v>0</v>
      </c>
      <c r="F21" s="2" t="n">
        <v>3</v>
      </c>
      <c r="G21" s="21">
        <f>SUMIFS(Val_Layers!$F$2:$F$220,Val_Layers!$A$2:$A$220,A21,Val_Layers!$B$2:$B$220,B21)</f>
        <v/>
      </c>
      <c r="H21" s="12" t="n">
        <v>0.1</v>
      </c>
      <c r="I21" s="12" t="n">
        <v>0.1</v>
      </c>
      <c r="J21" s="21">
        <f>SUMIFS(Val_Layers!$N$2:$N$220,Val_Layers!$A$2:$A$220,A21,Val_Layers!$B$2:$B$220,B21)</f>
        <v/>
      </c>
      <c r="K21" s="5">
        <f>1/(H21+J21+I21)</f>
        <v/>
      </c>
      <c r="L21" s="2" t="n">
        <v>20</v>
      </c>
      <c r="M21" s="2" t="inlineStr">
        <is>
          <t>Floor (×16); Wall (×4)</t>
        </is>
      </c>
      <c r="N21" s="2" t="n">
        <v>0</v>
      </c>
      <c r="O21" s="2" t="n">
        <v>0</v>
      </c>
      <c r="P21" s="2" t="n">
        <v>0</v>
      </c>
      <c r="Q21" s="2" t="n">
        <v>20</v>
      </c>
    </row>
    <row r="22">
      <c r="A22" s="2" t="inlineStr">
        <is>
          <t>B10</t>
        </is>
      </c>
      <c r="B22" s="2" t="inlineStr">
        <is>
          <t>WL_POLIMI-LC_EW01</t>
        </is>
      </c>
      <c r="C22" s="2" t="inlineStr">
        <is>
          <t>External wall</t>
        </is>
      </c>
      <c r="D22" s="2" t="inlineStr">
        <is>
          <t>IFC IfcMaterialLayerSet</t>
        </is>
      </c>
      <c r="E22" s="2" t="n">
        <v>3</v>
      </c>
      <c r="F22" s="2" t="n">
        <v>8</v>
      </c>
      <c r="G22" s="21">
        <f>SUMIFS(Val_Layers!$F$2:$F$220,Val_Layers!$A$2:$A$220,A22,Val_Layers!$B$2:$B$220,B22)</f>
        <v/>
      </c>
      <c r="H22" s="12" t="n">
        <v>0.13</v>
      </c>
      <c r="I22" s="12" t="n">
        <v>0.04</v>
      </c>
      <c r="J22" s="21">
        <f>SUMIFS(Val_Layers!$N$2:$N$220,Val_Layers!$A$2:$A$220,A22,Val_Layers!$B$2:$B$220,B22)</f>
        <v/>
      </c>
      <c r="K22" s="5">
        <f>1/(H22+J22+I22)</f>
        <v/>
      </c>
      <c r="L22" s="2" t="n">
        <v>3</v>
      </c>
      <c r="M22" s="2" t="inlineStr">
        <is>
          <t>Wall (×3)</t>
        </is>
      </c>
      <c r="N22" s="2" t="n">
        <v>3</v>
      </c>
      <c r="O22" s="2" t="n">
        <v>0</v>
      </c>
      <c r="P22" s="2" t="n">
        <v>0</v>
      </c>
      <c r="Q22" s="2" t="n">
        <v>0</v>
      </c>
    </row>
    <row r="23">
      <c r="A23" s="2" t="inlineStr">
        <is>
          <t>B10</t>
        </is>
      </c>
      <c r="B23" s="2" t="inlineStr">
        <is>
          <t>WL_POLIMI-LC_EW02</t>
        </is>
      </c>
      <c r="C23" s="2" t="inlineStr">
        <is>
          <t>External wall</t>
        </is>
      </c>
      <c r="D23" s="2" t="inlineStr">
        <is>
          <t>IFC IfcMaterialLayerSet</t>
        </is>
      </c>
      <c r="E23" s="2" t="n">
        <v>4</v>
      </c>
      <c r="F23" s="2" t="n">
        <v>8</v>
      </c>
      <c r="G23" s="21">
        <f>SUMIFS(Val_Layers!$F$2:$F$220,Val_Layers!$A$2:$A$220,A23,Val_Layers!$B$2:$B$220,B23)</f>
        <v/>
      </c>
      <c r="H23" s="12" t="n">
        <v>0.13</v>
      </c>
      <c r="I23" s="12" t="n">
        <v>0.04</v>
      </c>
      <c r="J23" s="21">
        <f>SUMIFS(Val_Layers!$N$2:$N$220,Val_Layers!$A$2:$A$220,A23,Val_Layers!$B$2:$B$220,B23)</f>
        <v/>
      </c>
      <c r="K23" s="5">
        <f>1/(H23+J23+I23)</f>
        <v/>
      </c>
      <c r="L23" s="2" t="n">
        <v>33</v>
      </c>
      <c r="M23" s="2" t="inlineStr">
        <is>
          <t>Wall (×33)</t>
        </is>
      </c>
      <c r="N23" s="2" t="n">
        <v>26</v>
      </c>
      <c r="O23" s="2" t="n">
        <v>0</v>
      </c>
      <c r="P23" s="2" t="n">
        <v>7</v>
      </c>
      <c r="Q23" s="2" t="n">
        <v>0</v>
      </c>
    </row>
    <row r="24">
      <c r="A24" s="2" t="inlineStr">
        <is>
          <t>B10</t>
        </is>
      </c>
      <c r="B24" s="2" t="inlineStr">
        <is>
          <t>WL_POLIMI-LC_EW03</t>
        </is>
      </c>
      <c r="C24" s="2" t="inlineStr">
        <is>
          <t>External wall</t>
        </is>
      </c>
      <c r="D24" s="2" t="inlineStr">
        <is>
          <t>IFC IfcMaterialLayerSet</t>
        </is>
      </c>
      <c r="E24" s="2" t="n">
        <v>8</v>
      </c>
      <c r="F24" s="2" t="n">
        <v>9</v>
      </c>
      <c r="G24" s="21">
        <f>SUMIFS(Val_Layers!$F$2:$F$220,Val_Layers!$A$2:$A$220,A24,Val_Layers!$B$2:$B$220,B24)</f>
        <v/>
      </c>
      <c r="H24" s="12" t="n">
        <v>0.13</v>
      </c>
      <c r="I24" s="12" t="n">
        <v>0.04</v>
      </c>
      <c r="J24" s="21">
        <f>SUMIFS(Val_Layers!$N$2:$N$220,Val_Layers!$A$2:$A$220,A24,Val_Layers!$B$2:$B$220,B24)</f>
        <v/>
      </c>
      <c r="K24" s="5">
        <f>1/(H24+J24+I24)</f>
        <v/>
      </c>
      <c r="L24" s="2" t="n">
        <v>8</v>
      </c>
      <c r="M24" s="2" t="inlineStr">
        <is>
          <t>Wall (×8)</t>
        </is>
      </c>
      <c r="N24" s="2" t="n">
        <v>8</v>
      </c>
      <c r="O24" s="2" t="n">
        <v>0</v>
      </c>
      <c r="P24" s="2" t="n">
        <v>0</v>
      </c>
      <c r="Q24" s="2" t="n">
        <v>0</v>
      </c>
    </row>
    <row r="25">
      <c r="A25" s="2" t="inlineStr">
        <is>
          <t>B10</t>
        </is>
      </c>
      <c r="B25" s="2" t="inlineStr">
        <is>
          <t>WL_POLIMI-LC_FC300</t>
        </is>
      </c>
      <c r="C25" s="2" t="inlineStr">
        <is>
          <t>External wall</t>
        </is>
      </c>
      <c r="D25" s="2" t="inlineStr">
        <is>
          <t>IFC IfcMaterialLayerSet</t>
        </is>
      </c>
      <c r="E25" s="2" t="n">
        <v>31</v>
      </c>
      <c r="F25" s="2" t="n">
        <v>3</v>
      </c>
      <c r="G25" s="21">
        <f>SUMIFS(Val_Layers!$F$2:$F$220,Val_Layers!$A$2:$A$220,A25,Val_Layers!$B$2:$B$220,B25)</f>
        <v/>
      </c>
      <c r="H25" s="12" t="n">
        <v>0.13</v>
      </c>
      <c r="I25" s="12" t="n">
        <v>0.04</v>
      </c>
      <c r="J25" s="21">
        <f>SUMIFS(Val_Layers!$N$2:$N$220,Val_Layers!$A$2:$A$220,A25,Val_Layers!$B$2:$B$220,B25)</f>
        <v/>
      </c>
      <c r="K25" s="5">
        <f>1/(H25+J25+I25)</f>
        <v/>
      </c>
      <c r="L25" s="2" t="n">
        <v>37</v>
      </c>
      <c r="M25" s="2" t="inlineStr">
        <is>
          <t>Wall (×37)</t>
        </is>
      </c>
      <c r="N25" s="2" t="n">
        <v>15</v>
      </c>
      <c r="O25" s="2" t="n">
        <v>0</v>
      </c>
      <c r="P25" s="2" t="n">
        <v>0</v>
      </c>
      <c r="Q25" s="2" t="n">
        <v>22</v>
      </c>
    </row>
    <row r="26">
      <c r="A26" s="2" t="inlineStr">
        <is>
          <t>B10</t>
        </is>
      </c>
      <c r="B26" s="2" t="inlineStr">
        <is>
          <t>WL_POLIMI-LC_EW04</t>
        </is>
      </c>
      <c r="C26" s="2" t="inlineStr">
        <is>
          <t>External wall</t>
        </is>
      </c>
      <c r="D26" s="2" t="inlineStr">
        <is>
          <t>IFC IfcMaterialLayerSet</t>
        </is>
      </c>
      <c r="E26" s="2" t="n">
        <v>1</v>
      </c>
      <c r="F26" s="2" t="n">
        <v>7</v>
      </c>
      <c r="G26" s="21">
        <f>SUMIFS(Val_Layers!$F$2:$F$220,Val_Layers!$A$2:$A$220,A26,Val_Layers!$B$2:$B$220,B26)</f>
        <v/>
      </c>
      <c r="H26" s="12" t="n">
        <v>0.13</v>
      </c>
      <c r="I26" s="12" t="n">
        <v>0.04</v>
      </c>
      <c r="J26" s="21">
        <f>SUMIFS(Val_Layers!$N$2:$N$220,Val_Layers!$A$2:$A$220,A26,Val_Layers!$B$2:$B$220,B26)</f>
        <v/>
      </c>
      <c r="K26" s="5">
        <f>1/(H26+J26+I26)</f>
        <v/>
      </c>
      <c r="L26" s="2" t="n">
        <v>1</v>
      </c>
      <c r="M26" s="2" t="inlineStr">
        <is>
          <t>Wall (×1)</t>
        </is>
      </c>
      <c r="N26" s="2" t="n">
        <v>1</v>
      </c>
      <c r="O26" s="2" t="n">
        <v>0</v>
      </c>
      <c r="P26" s="2" t="n">
        <v>0</v>
      </c>
      <c r="Q26" s="2" t="n">
        <v>0</v>
      </c>
    </row>
    <row r="27">
      <c r="A27" s="2" t="inlineStr">
        <is>
          <t>B10</t>
        </is>
      </c>
      <c r="B27" s="2" t="inlineStr">
        <is>
          <t>WL_POLIMI-LC_EW05</t>
        </is>
      </c>
      <c r="C27" s="2" t="inlineStr">
        <is>
          <t>External wall</t>
        </is>
      </c>
      <c r="D27" s="2" t="inlineStr">
        <is>
          <t>IFC IfcMaterialLayerSet</t>
        </is>
      </c>
      <c r="E27" s="2" t="n">
        <v>2</v>
      </c>
      <c r="F27" s="2" t="n">
        <v>9</v>
      </c>
      <c r="G27" s="21">
        <f>SUMIFS(Val_Layers!$F$2:$F$220,Val_Layers!$A$2:$A$220,A27,Val_Layers!$B$2:$B$220,B27)</f>
        <v/>
      </c>
      <c r="H27" s="12" t="n">
        <v>0.13</v>
      </c>
      <c r="I27" s="12" t="n">
        <v>0.04</v>
      </c>
      <c r="J27" s="21">
        <f>SUMIFS(Val_Layers!$N$2:$N$220,Val_Layers!$A$2:$A$220,A27,Val_Layers!$B$2:$B$220,B27)</f>
        <v/>
      </c>
      <c r="K27" s="5">
        <f>1/(H27+J27+I27)</f>
        <v/>
      </c>
      <c r="L27" s="2" t="n">
        <v>2</v>
      </c>
      <c r="M27" s="2" t="inlineStr">
        <is>
          <t>Wall (×2)</t>
        </is>
      </c>
      <c r="N27" s="2" t="n">
        <v>2</v>
      </c>
      <c r="O27" s="2" t="n">
        <v>0</v>
      </c>
      <c r="P27" s="2" t="n">
        <v>0</v>
      </c>
      <c r="Q27" s="2" t="n">
        <v>0</v>
      </c>
    </row>
    <row r="28">
      <c r="A28" s="2" t="inlineStr">
        <is>
          <t>B10</t>
        </is>
      </c>
      <c r="B28" s="2" t="inlineStr">
        <is>
          <t>WL_POLIMI-LC_IW02</t>
        </is>
      </c>
      <c r="C28" s="2" t="inlineStr">
        <is>
          <t>Internal partition</t>
        </is>
      </c>
      <c r="D28" s="2" t="inlineStr">
        <is>
          <t>IFC IfcMaterialLayerSet</t>
        </is>
      </c>
      <c r="E28" s="2" t="n">
        <v>58</v>
      </c>
      <c r="F28" s="2" t="n">
        <v>7</v>
      </c>
      <c r="G28" s="21">
        <f>SUMIFS(Val_Layers!$F$2:$F$220,Val_Layers!$A$2:$A$220,A28,Val_Layers!$B$2:$B$220,B28)</f>
        <v/>
      </c>
      <c r="H28" s="12" t="n">
        <v>0.13</v>
      </c>
      <c r="I28" s="12" t="n">
        <v>0.13</v>
      </c>
      <c r="J28" s="21">
        <f>SUMIFS(Val_Layers!$N$2:$N$220,Val_Layers!$A$2:$A$220,A28,Val_Layers!$B$2:$B$220,B28)</f>
        <v/>
      </c>
      <c r="K28" s="5">
        <f>1/(H28+J28+I28)</f>
        <v/>
      </c>
      <c r="L28" s="2" t="n">
        <v>78</v>
      </c>
      <c r="M28" s="2" t="inlineStr">
        <is>
          <t>Wall (×78)</t>
        </is>
      </c>
      <c r="N28" s="2" t="n">
        <v>20</v>
      </c>
      <c r="O28" s="2" t="n">
        <v>0</v>
      </c>
      <c r="P28" s="2" t="n">
        <v>0</v>
      </c>
      <c r="Q28" s="2" t="n">
        <v>58</v>
      </c>
    </row>
    <row r="29">
      <c r="A29" s="2" t="inlineStr">
        <is>
          <t>B10</t>
        </is>
      </c>
      <c r="B29" s="2" t="inlineStr">
        <is>
          <t>WL_POLIMI-LC_IW03</t>
        </is>
      </c>
      <c r="C29" s="2" t="inlineStr">
        <is>
          <t>Internal partition</t>
        </is>
      </c>
      <c r="D29" s="2" t="inlineStr">
        <is>
          <t>IFC IfcMaterialLayerSet</t>
        </is>
      </c>
      <c r="E29" s="2" t="n">
        <v>24</v>
      </c>
      <c r="F29" s="2" t="n">
        <v>3</v>
      </c>
      <c r="G29" s="21">
        <f>SUMIFS(Val_Layers!$F$2:$F$220,Val_Layers!$A$2:$A$220,A29,Val_Layers!$B$2:$B$220,B29)</f>
        <v/>
      </c>
      <c r="H29" s="12" t="n">
        <v>0.13</v>
      </c>
      <c r="I29" s="12" t="n">
        <v>0.13</v>
      </c>
      <c r="J29" s="21">
        <f>SUMIFS(Val_Layers!$N$2:$N$220,Val_Layers!$A$2:$A$220,A29,Val_Layers!$B$2:$B$220,B29)</f>
        <v/>
      </c>
      <c r="K29" s="5">
        <f>1/(H29+J29+I29)</f>
        <v/>
      </c>
      <c r="L29" s="2" t="n">
        <v>34</v>
      </c>
      <c r="M29" s="2" t="inlineStr">
        <is>
          <t>Wall (×34)</t>
        </is>
      </c>
      <c r="N29" s="2" t="n">
        <v>14</v>
      </c>
      <c r="O29" s="2" t="n">
        <v>0</v>
      </c>
      <c r="P29" s="2" t="n">
        <v>0</v>
      </c>
      <c r="Q29" s="2" t="n">
        <v>20</v>
      </c>
    </row>
    <row r="30">
      <c r="A30" s="2" t="inlineStr">
        <is>
          <t>B10</t>
        </is>
      </c>
      <c r="B30" s="2" t="inlineStr">
        <is>
          <t>WL_POLIMI-LC_IW04</t>
        </is>
      </c>
      <c r="C30" s="2" t="inlineStr">
        <is>
          <t>Internal partition</t>
        </is>
      </c>
      <c r="D30" s="2" t="inlineStr">
        <is>
          <t>IFC IfcMaterialLayerSet</t>
        </is>
      </c>
      <c r="E30" s="2" t="n">
        <v>22</v>
      </c>
      <c r="F30" s="2" t="n">
        <v>8</v>
      </c>
      <c r="G30" s="21">
        <f>SUMIFS(Val_Layers!$F$2:$F$220,Val_Layers!$A$2:$A$220,A30,Val_Layers!$B$2:$B$220,B30)</f>
        <v/>
      </c>
      <c r="H30" s="12" t="n">
        <v>0.13</v>
      </c>
      <c r="I30" s="12" t="n">
        <v>0.13</v>
      </c>
      <c r="J30" s="21">
        <f>SUMIFS(Val_Layers!$N$2:$N$220,Val_Layers!$A$2:$A$220,A30,Val_Layers!$B$2:$B$220,B30)</f>
        <v/>
      </c>
      <c r="K30" s="5">
        <f>1/(H30+J30+I30)</f>
        <v/>
      </c>
      <c r="L30" s="2" t="n">
        <v>42</v>
      </c>
      <c r="M30" s="2" t="inlineStr">
        <is>
          <t>Wall (×42)</t>
        </is>
      </c>
      <c r="N30" s="2" t="n">
        <v>2</v>
      </c>
      <c r="O30" s="2" t="n">
        <v>0</v>
      </c>
      <c r="P30" s="2" t="n">
        <v>0</v>
      </c>
      <c r="Q30" s="2" t="n">
        <v>40</v>
      </c>
    </row>
    <row r="31">
      <c r="A31" s="2" t="inlineStr">
        <is>
          <t>B10</t>
        </is>
      </c>
      <c r="B31" s="2" t="inlineStr">
        <is>
          <t>WL_POLIMI-LC_IW06_Toilet</t>
        </is>
      </c>
      <c r="C31" s="2" t="inlineStr">
        <is>
          <t>Internal partition</t>
        </is>
      </c>
      <c r="D31" s="2" t="inlineStr">
        <is>
          <t>IFC IfcMaterialLayerSet</t>
        </is>
      </c>
      <c r="E31" s="2" t="n">
        <v>4</v>
      </c>
      <c r="F31" s="2" t="n">
        <v>5</v>
      </c>
      <c r="G31" s="21">
        <f>SUMIFS(Val_Layers!$F$2:$F$220,Val_Layers!$A$2:$A$220,A31,Val_Layers!$B$2:$B$220,B31)</f>
        <v/>
      </c>
      <c r="H31" s="12" t="n">
        <v>0.13</v>
      </c>
      <c r="I31" s="12" t="n">
        <v>0.13</v>
      </c>
      <c r="J31" s="21">
        <f>SUMIFS(Val_Layers!$N$2:$N$220,Val_Layers!$A$2:$A$220,A31,Val_Layers!$B$2:$B$220,B31)</f>
        <v/>
      </c>
      <c r="K31" s="5">
        <f>1/(H31+J31+I31)</f>
        <v/>
      </c>
      <c r="L31" s="2" t="n">
        <v>4</v>
      </c>
      <c r="M31" s="2" t="inlineStr">
        <is>
          <t>Wall (×4)</t>
        </is>
      </c>
      <c r="N31" s="2" t="n">
        <v>4</v>
      </c>
      <c r="O31" s="2" t="n">
        <v>0</v>
      </c>
      <c r="P31" s="2" t="n">
        <v>0</v>
      </c>
      <c r="Q31" s="2" t="n">
        <v>0</v>
      </c>
    </row>
    <row r="32">
      <c r="A32" s="2" t="inlineStr">
        <is>
          <t>B10</t>
        </is>
      </c>
      <c r="B32" s="2" t="inlineStr">
        <is>
          <t>WL_POLIMI-LC_IW01</t>
        </is>
      </c>
      <c r="C32" s="2" t="inlineStr">
        <is>
          <t>Internal partition</t>
        </is>
      </c>
      <c r="D32" s="2" t="inlineStr">
        <is>
          <t>IFC IfcMaterialLayerSet</t>
        </is>
      </c>
      <c r="E32" s="2" t="n">
        <v>7</v>
      </c>
      <c r="F32" s="2" t="n">
        <v>6</v>
      </c>
      <c r="G32" s="21">
        <f>SUMIFS(Val_Layers!$F$2:$F$220,Val_Layers!$A$2:$A$220,A32,Val_Layers!$B$2:$B$220,B32)</f>
        <v/>
      </c>
      <c r="H32" s="12" t="n">
        <v>0.13</v>
      </c>
      <c r="I32" s="12" t="n">
        <v>0.13</v>
      </c>
      <c r="J32" s="21">
        <f>SUMIFS(Val_Layers!$N$2:$N$220,Val_Layers!$A$2:$A$220,A32,Val_Layers!$B$2:$B$220,B32)</f>
        <v/>
      </c>
      <c r="K32" s="5">
        <f>1/(H32+J32+I32)</f>
        <v/>
      </c>
      <c r="L32" s="2" t="n">
        <v>11</v>
      </c>
      <c r="M32" s="2" t="inlineStr">
        <is>
          <t>Wall (×11)</t>
        </is>
      </c>
      <c r="N32" s="2" t="n">
        <v>3</v>
      </c>
      <c r="O32" s="2" t="n">
        <v>0</v>
      </c>
      <c r="P32" s="2" t="n">
        <v>0</v>
      </c>
      <c r="Q32" s="2" t="n">
        <v>8</v>
      </c>
    </row>
    <row r="33">
      <c r="A33" s="2" t="inlineStr">
        <is>
          <t>B10</t>
        </is>
      </c>
      <c r="B33" s="2" t="inlineStr">
        <is>
          <t>WL_POLIMI-LC_IW05_Toilet</t>
        </is>
      </c>
      <c r="C33" s="2" t="inlineStr">
        <is>
          <t>Internal partition</t>
        </is>
      </c>
      <c r="D33" s="2" t="inlineStr">
        <is>
          <t>IFC IfcMaterialLayerSet</t>
        </is>
      </c>
      <c r="E33" s="2" t="n">
        <v>7</v>
      </c>
      <c r="F33" s="2" t="n">
        <v>9</v>
      </c>
      <c r="G33" s="21">
        <f>SUMIFS(Val_Layers!$F$2:$F$220,Val_Layers!$A$2:$A$220,A33,Val_Layers!$B$2:$B$220,B33)</f>
        <v/>
      </c>
      <c r="H33" s="12" t="n">
        <v>0.13</v>
      </c>
      <c r="I33" s="12" t="n">
        <v>0.13</v>
      </c>
      <c r="J33" s="21">
        <f>SUMIFS(Val_Layers!$N$2:$N$220,Val_Layers!$A$2:$A$220,A33,Val_Layers!$B$2:$B$220,B33)</f>
        <v/>
      </c>
      <c r="K33" s="5">
        <f>1/(H33+J33+I33)</f>
        <v/>
      </c>
      <c r="L33" s="2" t="n">
        <v>7</v>
      </c>
      <c r="M33" s="2" t="inlineStr">
        <is>
          <t>Wall (×7)</t>
        </is>
      </c>
      <c r="N33" s="2" t="n">
        <v>7</v>
      </c>
      <c r="O33" s="2" t="n">
        <v>0</v>
      </c>
      <c r="P33" s="2" t="n">
        <v>0</v>
      </c>
      <c r="Q33" s="2" t="n">
        <v>0</v>
      </c>
    </row>
    <row r="34">
      <c r="A34" s="2" t="inlineStr">
        <is>
          <t>B10</t>
        </is>
      </c>
      <c r="B34" s="2" t="inlineStr">
        <is>
          <t>FL_POLIMI-LC_InternalFloor_IH-E</t>
        </is>
      </c>
      <c r="C34" s="2" t="inlineStr">
        <is>
          <t>Floor over outdoor/unheated</t>
        </is>
      </c>
      <c r="D34" s="2" t="inlineStr">
        <is>
          <t>IFC IfcMaterialLayerSet</t>
        </is>
      </c>
      <c r="E34" s="2" t="n">
        <v>3</v>
      </c>
      <c r="F34" s="2" t="n">
        <v>5</v>
      </c>
      <c r="G34" s="21">
        <f>SUMIFS(Val_Layers!$F$2:$F$220,Val_Layers!$A$2:$A$220,A34,Val_Layers!$B$2:$B$220,B34)</f>
        <v/>
      </c>
      <c r="H34" s="12" t="n">
        <v>0.17</v>
      </c>
      <c r="I34" s="12" t="n">
        <v>0.04</v>
      </c>
      <c r="J34" s="21">
        <f>SUMIFS(Val_Layers!$N$2:$N$220,Val_Layers!$A$2:$A$220,A34,Val_Layers!$B$2:$B$220,B34)</f>
        <v/>
      </c>
      <c r="K34" s="5">
        <f>1/(H34+J34+I34)</f>
        <v/>
      </c>
      <c r="L34" s="2" t="n">
        <v>79</v>
      </c>
      <c r="M34" s="2" t="inlineStr">
        <is>
          <t>Floor (×48); Wall (×31)</t>
        </is>
      </c>
      <c r="N34" s="2" t="n">
        <v>13</v>
      </c>
      <c r="O34" s="2" t="n">
        <v>0</v>
      </c>
      <c r="P34" s="2" t="n">
        <v>0</v>
      </c>
      <c r="Q34" s="2" t="n">
        <v>66</v>
      </c>
    </row>
    <row r="35">
      <c r="A35" s="2" t="inlineStr">
        <is>
          <t>B10</t>
        </is>
      </c>
      <c r="B35" s="2" t="inlineStr">
        <is>
          <t>FL_POLIMI-LC_GroundFloor</t>
        </is>
      </c>
      <c r="C35" s="2" t="inlineStr">
        <is>
          <t>Ground floor</t>
        </is>
      </c>
      <c r="D35" s="2" t="inlineStr">
        <is>
          <t>IFC IfcMaterialLayerSet</t>
        </is>
      </c>
      <c r="E35" s="2" t="n">
        <v>21</v>
      </c>
      <c r="F35" s="2" t="n">
        <v>7</v>
      </c>
      <c r="G35" s="21">
        <f>SUMIFS(Val_Layers!$F$2:$F$220,Val_Layers!$A$2:$A$220,A35,Val_Layers!$B$2:$B$220,B35)</f>
        <v/>
      </c>
      <c r="H35" s="12" t="n">
        <v>0.17</v>
      </c>
      <c r="I35" s="12" t="n">
        <v>0</v>
      </c>
      <c r="J35" s="21">
        <f>SUMIFS(Val_Layers!$N$2:$N$220,Val_Layers!$A$2:$A$220,A35,Val_Layers!$B$2:$B$220,B35)</f>
        <v/>
      </c>
      <c r="K35" s="5">
        <f>1/(H35+J35+I35)</f>
        <v/>
      </c>
      <c r="L35" s="2" t="n">
        <v>15</v>
      </c>
      <c r="M35" s="2" t="inlineStr">
        <is>
          <t>Floor (×13); Wall (×2)</t>
        </is>
      </c>
      <c r="N35" s="2" t="n">
        <v>0</v>
      </c>
      <c r="O35" s="2" t="n">
        <v>15</v>
      </c>
      <c r="P35" s="2" t="n">
        <v>0</v>
      </c>
      <c r="Q35" s="2" t="n">
        <v>0</v>
      </c>
    </row>
    <row r="36">
      <c r="A36" s="2" t="inlineStr">
        <is>
          <t>B10</t>
        </is>
      </c>
      <c r="B36" s="2" t="inlineStr">
        <is>
          <t>FL_POLIMI-LC_InternalFloor_IH-IH_Toilet</t>
        </is>
      </c>
      <c r="C36" s="2" t="inlineStr">
        <is>
          <t>Internal floor</t>
        </is>
      </c>
      <c r="D36" s="2" t="inlineStr">
        <is>
          <t>IFC IfcMaterialLayerSet</t>
        </is>
      </c>
      <c r="E36" s="2" t="n">
        <v>11</v>
      </c>
      <c r="F36" s="2" t="n">
        <v>5</v>
      </c>
      <c r="G36" s="21">
        <f>SUMIFS(Val_Layers!$F$2:$F$220,Val_Layers!$A$2:$A$220,A36,Val_Layers!$B$2:$B$220,B36)</f>
        <v/>
      </c>
      <c r="H36" s="12" t="n">
        <v>0.1</v>
      </c>
      <c r="I36" s="12" t="n">
        <v>0.1</v>
      </c>
      <c r="J36" s="21">
        <f>SUMIFS(Val_Layers!$N$2:$N$220,Val_Layers!$A$2:$A$220,A36,Val_Layers!$B$2:$B$220,B36)</f>
        <v/>
      </c>
      <c r="K36" s="5">
        <f>1/(H36+J36+I36)</f>
        <v/>
      </c>
      <c r="L36" s="2" t="n">
        <v>22</v>
      </c>
      <c r="M36" s="2" t="inlineStr">
        <is>
          <t>Floor (×12); Wall (×10)</t>
        </is>
      </c>
      <c r="N36" s="2" t="n">
        <v>0</v>
      </c>
      <c r="O36" s="2" t="n">
        <v>0</v>
      </c>
      <c r="P36" s="2" t="n">
        <v>0</v>
      </c>
      <c r="Q36" s="2" t="n">
        <v>22</v>
      </c>
    </row>
    <row r="37">
      <c r="A37" s="2" t="inlineStr">
        <is>
          <t>B10</t>
        </is>
      </c>
      <c r="B37" s="2" t="inlineStr">
        <is>
          <t>RF_POLIMI-LC_IH-E</t>
        </is>
      </c>
      <c r="C37" s="2" t="inlineStr">
        <is>
          <t>Roof</t>
        </is>
      </c>
      <c r="D37" s="2" t="inlineStr">
        <is>
          <t>Notebook (manual layers)</t>
        </is>
      </c>
      <c r="E37" s="2" t="n">
        <v>12</v>
      </c>
      <c r="F37" s="2" t="n">
        <v>4</v>
      </c>
      <c r="G37" s="21">
        <f>SUMIFS(Val_Layers!$F$2:$F$220,Val_Layers!$A$2:$A$220,A37,Val_Layers!$B$2:$B$220,B37)</f>
        <v/>
      </c>
      <c r="H37" s="12" t="n">
        <v>0.1</v>
      </c>
      <c r="I37" s="12" t="n">
        <v>0.04</v>
      </c>
      <c r="J37" s="21">
        <f>SUMIFS(Val_Layers!$N$2:$N$220,Val_Layers!$A$2:$A$220,A37,Val_Layers!$B$2:$B$220,B37)</f>
        <v/>
      </c>
      <c r="K37" s="5">
        <f>1/(H37+J37+I37)</f>
        <v/>
      </c>
      <c r="L37" s="2" t="n">
        <v>17</v>
      </c>
      <c r="M37" s="2" t="inlineStr">
        <is>
          <t>Roof (×15); Wall (×2)</t>
        </is>
      </c>
      <c r="N37" s="2" t="n">
        <v>17</v>
      </c>
      <c r="O37" s="2" t="n">
        <v>0</v>
      </c>
      <c r="P37" s="2" t="n">
        <v>0</v>
      </c>
      <c r="Q37" s="2" t="n">
        <v>0</v>
      </c>
    </row>
  </sheetData>
  <autoFilter ref="A1:Q37"/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25"/>
  <cols>
    <col width="8" customWidth="1" min="1" max="1"/>
    <col width="34" customWidth="1" min="2" max="2"/>
    <col width="9" customWidth="1" min="3" max="3"/>
    <col width="44" customWidth="1" min="4" max="4"/>
    <col width="40" customWidth="1" min="5" max="5"/>
    <col width="10" customWidth="1" min="6" max="6"/>
    <col width="11" customWidth="1" min="7" max="7"/>
    <col width="10" customWidth="1" min="8" max="8"/>
    <col width="11" customWidth="1" min="9" max="9"/>
    <col width="10" customWidth="1" min="10" max="12"/>
    <col width="12" customWidth="1" min="13" max="14"/>
  </cols>
  <sheetData>
    <row r="1" ht="39.4" customHeight="1">
      <c r="A1" s="1" t="inlineStr">
        <is>
          <t>Building</t>
        </is>
      </c>
      <c r="B1" s="1" t="inlineStr">
        <is>
          <t>Construction</t>
        </is>
      </c>
      <c r="C1" s="1" t="inlineStr">
        <is>
          <t>Layer # (outside → inside)</t>
        </is>
      </c>
      <c r="D1" s="1" t="inlineStr">
        <is>
          <t>Material (E+ name)</t>
        </is>
      </c>
      <c r="E1" s="1" t="inlineStr">
        <is>
          <t>Material (IFC name)</t>
        </is>
      </c>
      <c r="F1" s="1" t="inlineStr">
        <is>
          <t>Thickness (m)</t>
        </is>
      </c>
      <c r="G1" s="1" t="inlineStr">
        <is>
          <t>Conductivity λ (W/m·K)</t>
        </is>
      </c>
      <c r="H1" s="1" t="inlineStr">
        <is>
          <t>Density ρ (kg/m³)</t>
        </is>
      </c>
      <c r="I1" s="1" t="inlineStr">
        <is>
          <t>Specific heat c (J/kg·K)</t>
        </is>
      </c>
      <c r="J1" s="1" t="inlineStr">
        <is>
          <t>Thermal absorptance</t>
        </is>
      </c>
      <c r="K1" s="1" t="inlineStr">
        <is>
          <t>Solar absorptance</t>
        </is>
      </c>
      <c r="L1" s="1" t="inlineStr">
        <is>
          <t>Visible absorptance</t>
        </is>
      </c>
      <c r="M1" s="1" t="inlineStr">
        <is>
          <t>Roughness</t>
        </is>
      </c>
      <c r="N1" s="1" t="inlineStr">
        <is>
          <t>R = d/λ (m²K/W)</t>
        </is>
      </c>
    </row>
    <row r="2">
      <c r="A2" s="2" t="inlineStr">
        <is>
          <t>B09</t>
        </is>
      </c>
      <c r="B2" s="2" t="inlineStr">
        <is>
          <t>Generic Interior Wall</t>
        </is>
      </c>
      <c r="C2" s="2" t="n">
        <v>1</v>
      </c>
      <c r="D2" s="2" t="inlineStr">
        <is>
          <t>Generic Gypsum Board</t>
        </is>
      </c>
      <c r="E2" s="2" t="inlineStr">
        <is>
          <t>Generic Gypsum Board</t>
        </is>
      </c>
      <c r="F2" s="2" t="n">
        <v>0.0127</v>
      </c>
      <c r="G2" s="2" t="n">
        <v>0.16</v>
      </c>
      <c r="H2" s="2" t="n">
        <v>800</v>
      </c>
      <c r="I2" s="2" t="n">
        <v>1090</v>
      </c>
      <c r="J2" s="2" t="n">
        <v>0.9</v>
      </c>
      <c r="K2" s="2" t="n">
        <v>0.5</v>
      </c>
      <c r="L2" s="2" t="n">
        <v>0.5</v>
      </c>
      <c r="M2" s="2" t="inlineStr">
        <is>
          <t>MediumSmooth</t>
        </is>
      </c>
      <c r="N2" s="22">
        <f>IF(G2&gt;0,F2/G2,0)</f>
        <v/>
      </c>
    </row>
    <row r="3">
      <c r="A3" s="2" t="inlineStr">
        <is>
          <t>B09</t>
        </is>
      </c>
      <c r="B3" s="2" t="inlineStr">
        <is>
          <t>Generic Interior Wall</t>
        </is>
      </c>
      <c r="C3" s="2" t="n">
        <v>2</v>
      </c>
      <c r="D3" s="2" t="inlineStr">
        <is>
          <t>Generic Wall Air Gap</t>
        </is>
      </c>
      <c r="E3" s="2" t="inlineStr">
        <is>
          <t>Generic Wall Air Gap</t>
        </is>
      </c>
      <c r="F3" s="2" t="n">
        <v>0.1</v>
      </c>
      <c r="G3" s="2" t="n">
        <v>0.667</v>
      </c>
      <c r="H3" s="2" t="n">
        <v>1.28</v>
      </c>
      <c r="I3" s="2" t="n">
        <v>1000</v>
      </c>
      <c r="J3" s="2" t="n">
        <v>0.9</v>
      </c>
      <c r="K3" s="2" t="n">
        <v>0.7</v>
      </c>
      <c r="L3" s="2" t="n">
        <v>0.7</v>
      </c>
      <c r="M3" s="2" t="inlineStr">
        <is>
          <t>Smooth</t>
        </is>
      </c>
      <c r="N3" s="22">
        <f>IF(G3&gt;0,F3/G3,0)</f>
        <v/>
      </c>
    </row>
    <row r="4">
      <c r="A4" s="2" t="inlineStr">
        <is>
          <t>B09</t>
        </is>
      </c>
      <c r="B4" s="2" t="inlineStr">
        <is>
          <t>Generic Interior Wall</t>
        </is>
      </c>
      <c r="C4" s="2" t="n">
        <v>3</v>
      </c>
      <c r="D4" s="2" t="inlineStr">
        <is>
          <t>Generic Gypsum Board</t>
        </is>
      </c>
      <c r="E4" s="2" t="inlineStr">
        <is>
          <t>Generic Gypsum Board</t>
        </is>
      </c>
      <c r="F4" s="2" t="n">
        <v>0.0127</v>
      </c>
      <c r="G4" s="2" t="n">
        <v>0.16</v>
      </c>
      <c r="H4" s="2" t="n">
        <v>800</v>
      </c>
      <c r="I4" s="2" t="n">
        <v>1090</v>
      </c>
      <c r="J4" s="2" t="n">
        <v>0.9</v>
      </c>
      <c r="K4" s="2" t="n">
        <v>0.5</v>
      </c>
      <c r="L4" s="2" t="n">
        <v>0.5</v>
      </c>
      <c r="M4" s="2" t="inlineStr">
        <is>
          <t>MediumSmooth</t>
        </is>
      </c>
      <c r="N4" s="22">
        <f>IF(G4&gt;0,F4/G4,0)</f>
        <v/>
      </c>
    </row>
    <row r="5">
      <c r="A5" s="2" t="inlineStr">
        <is>
          <t>B09</t>
        </is>
      </c>
      <c r="B5" s="2" t="inlineStr">
        <is>
          <t>Generic Interior Floor</t>
        </is>
      </c>
      <c r="C5" s="2" t="n">
        <v>1</v>
      </c>
      <c r="D5" s="2" t="inlineStr">
        <is>
          <t>Generic Acoustic Tile</t>
        </is>
      </c>
      <c r="E5" s="2" t="inlineStr">
        <is>
          <t>Generic Acoustic Tile</t>
        </is>
      </c>
      <c r="F5" s="2" t="n">
        <v>0.02</v>
      </c>
      <c r="G5" s="2" t="n">
        <v>0.06</v>
      </c>
      <c r="H5" s="2" t="n">
        <v>368</v>
      </c>
      <c r="I5" s="2" t="n">
        <v>590</v>
      </c>
      <c r="J5" s="2" t="n">
        <v>0.9</v>
      </c>
      <c r="K5" s="2" t="n">
        <v>0.2</v>
      </c>
      <c r="L5" s="2" t="n">
        <v>0.2</v>
      </c>
      <c r="M5" s="2" t="inlineStr">
        <is>
          <t>MediumSmooth</t>
        </is>
      </c>
      <c r="N5" s="22">
        <f>IF(G5&gt;0,F5/G5,0)</f>
        <v/>
      </c>
    </row>
    <row r="6">
      <c r="A6" s="2" t="inlineStr">
        <is>
          <t>B09</t>
        </is>
      </c>
      <c r="B6" s="2" t="inlineStr">
        <is>
          <t>Generic Interior Floor</t>
        </is>
      </c>
      <c r="C6" s="2" t="n">
        <v>2</v>
      </c>
      <c r="D6" s="2" t="inlineStr">
        <is>
          <t>Generic Ceiling Air Gap</t>
        </is>
      </c>
      <c r="E6" s="2" t="inlineStr">
        <is>
          <t>Generic Ceiling Air Gap</t>
        </is>
      </c>
      <c r="F6" s="2" t="n">
        <v>0.1</v>
      </c>
      <c r="G6" s="2" t="n">
        <v>0.556</v>
      </c>
      <c r="H6" s="2" t="n">
        <v>1.28</v>
      </c>
      <c r="I6" s="2" t="n">
        <v>1000</v>
      </c>
      <c r="J6" s="2" t="n">
        <v>0.9</v>
      </c>
      <c r="K6" s="2" t="n">
        <v>0.7</v>
      </c>
      <c r="L6" s="2" t="n">
        <v>0.7</v>
      </c>
      <c r="M6" s="2" t="inlineStr">
        <is>
          <t>Smooth</t>
        </is>
      </c>
      <c r="N6" s="22">
        <f>IF(G6&gt;0,F6/G6,0)</f>
        <v/>
      </c>
    </row>
    <row r="7">
      <c r="A7" s="2" t="inlineStr">
        <is>
          <t>B09</t>
        </is>
      </c>
      <c r="B7" s="2" t="inlineStr">
        <is>
          <t>Generic Interior Floor</t>
        </is>
      </c>
      <c r="C7" s="2" t="n">
        <v>3</v>
      </c>
      <c r="D7" s="2" t="inlineStr">
        <is>
          <t>Generic LW Concrete</t>
        </is>
      </c>
      <c r="E7" s="2" t="inlineStr">
        <is>
          <t>Generic LW Concrete</t>
        </is>
      </c>
      <c r="F7" s="2" t="n">
        <v>0.1</v>
      </c>
      <c r="G7" s="2" t="n">
        <v>0.53</v>
      </c>
      <c r="H7" s="2" t="n">
        <v>1280</v>
      </c>
      <c r="I7" s="2" t="n">
        <v>840</v>
      </c>
      <c r="J7" s="2" t="n">
        <v>0.9</v>
      </c>
      <c r="K7" s="2" t="n">
        <v>0.8</v>
      </c>
      <c r="L7" s="2" t="n">
        <v>0.8</v>
      </c>
      <c r="M7" s="2" t="inlineStr">
        <is>
          <t>MediumRough</t>
        </is>
      </c>
      <c r="N7" s="22">
        <f>IF(G7&gt;0,F7/G7,0)</f>
        <v/>
      </c>
    </row>
    <row r="8">
      <c r="A8" s="2" t="inlineStr">
        <is>
          <t>B09</t>
        </is>
      </c>
      <c r="B8" s="2" t="inlineStr">
        <is>
          <t>Generic Ground Slab</t>
        </is>
      </c>
      <c r="C8" s="2" t="n">
        <v>1</v>
      </c>
      <c r="D8" s="2" t="inlineStr">
        <is>
          <t>Generic 50mm Insulation</t>
        </is>
      </c>
      <c r="E8" s="2" t="inlineStr">
        <is>
          <t>Generic 50mm Insulation</t>
        </is>
      </c>
      <c r="F8" s="2" t="n">
        <v>0.05</v>
      </c>
      <c r="G8" s="2" t="n">
        <v>0.03</v>
      </c>
      <c r="H8" s="2" t="n">
        <v>43</v>
      </c>
      <c r="I8" s="2" t="n">
        <v>1210</v>
      </c>
      <c r="J8" s="2" t="n">
        <v>0.9</v>
      </c>
      <c r="K8" s="2" t="n">
        <v>0.7</v>
      </c>
      <c r="L8" s="2" t="n">
        <v>0.7</v>
      </c>
      <c r="M8" s="2" t="inlineStr">
        <is>
          <t>MediumRough</t>
        </is>
      </c>
      <c r="N8" s="22">
        <f>IF(G8&gt;0,F8/G8,0)</f>
        <v/>
      </c>
    </row>
    <row r="9">
      <c r="A9" s="2" t="inlineStr">
        <is>
          <t>B09</t>
        </is>
      </c>
      <c r="B9" s="2" t="inlineStr">
        <is>
          <t>Generic Ground Slab</t>
        </is>
      </c>
      <c r="C9" s="2" t="n">
        <v>2</v>
      </c>
      <c r="D9" s="2" t="inlineStr">
        <is>
          <t>Generic HW Concrete</t>
        </is>
      </c>
      <c r="E9" s="2" t="inlineStr">
        <is>
          <t>Generic HW Concrete</t>
        </is>
      </c>
      <c r="F9" s="2" t="n">
        <v>0.2</v>
      </c>
      <c r="G9" s="2" t="n">
        <v>1.95</v>
      </c>
      <c r="H9" s="2" t="n">
        <v>2240</v>
      </c>
      <c r="I9" s="2" t="n">
        <v>900</v>
      </c>
      <c r="J9" s="2" t="n">
        <v>0.9</v>
      </c>
      <c r="K9" s="2" t="n">
        <v>0.8</v>
      </c>
      <c r="L9" s="2" t="n">
        <v>0.8</v>
      </c>
      <c r="M9" s="2" t="inlineStr">
        <is>
          <t>MediumRough</t>
        </is>
      </c>
      <c r="N9" s="22">
        <f>IF(G9&gt;0,F9/G9,0)</f>
        <v/>
      </c>
    </row>
    <row r="10">
      <c r="A10" s="2" t="inlineStr">
        <is>
          <t>B09</t>
        </is>
      </c>
      <c r="B10" s="2" t="inlineStr">
        <is>
          <t>WL_POLIMI-LC_EW04</t>
        </is>
      </c>
      <c r="C10" s="2" t="n">
        <v>1</v>
      </c>
      <c r="D10" s="2" t="inlineStr">
        <is>
          <t>dtu_MT_POLIMI_Pannello in alluminio-0.005</t>
        </is>
      </c>
      <c r="E10" s="2" t="inlineStr">
        <is>
          <t>dtu_MT_POLIMI_Pannello in alluminio</t>
        </is>
      </c>
      <c r="F10" s="2" t="n">
        <v>0.005</v>
      </c>
      <c r="G10" s="2" t="n">
        <v>220</v>
      </c>
      <c r="H10" s="2" t="n">
        <v>2700</v>
      </c>
      <c r="I10" s="2" t="n">
        <v>896</v>
      </c>
      <c r="J10" s="2" t="n">
        <v>0.2</v>
      </c>
      <c r="K10" s="2" t="n">
        <v>0.7</v>
      </c>
      <c r="L10" s="2" t="n">
        <v>0.7</v>
      </c>
      <c r="M10" s="2" t="inlineStr">
        <is>
          <t>MediumRough</t>
        </is>
      </c>
      <c r="N10" s="22">
        <f>IF(G10&gt;0,F10/G10,0)</f>
        <v/>
      </c>
    </row>
    <row r="11">
      <c r="A11" s="2" t="inlineStr">
        <is>
          <t>B09</t>
        </is>
      </c>
      <c r="B11" s="2" t="inlineStr">
        <is>
          <t>WL_POLIMI-LC_EW04</t>
        </is>
      </c>
      <c r="C11" s="2" t="n">
        <v>2</v>
      </c>
      <c r="D11" s="2" t="inlineStr">
        <is>
          <t>dtu_MT_POLIMI_Camera d'aria fortemente ventilata-0.035</t>
        </is>
      </c>
      <c r="E11" s="2" t="inlineStr">
        <is>
          <t>dtu_MT_POLIMI_Camera d'aria fortemente ventilata</t>
        </is>
      </c>
      <c r="F11" s="2" t="n">
        <v>0.035</v>
      </c>
      <c r="G11" s="2" t="n">
        <v>0.285</v>
      </c>
      <c r="H11" s="2" t="n">
        <v>1</v>
      </c>
      <c r="I11" s="2" t="n">
        <v>1004</v>
      </c>
      <c r="J11" s="2" t="n">
        <v>0.7</v>
      </c>
      <c r="K11" s="2" t="n">
        <v>0.7</v>
      </c>
      <c r="L11" s="2" t="n">
        <v>0.7</v>
      </c>
      <c r="M11" s="2" t="inlineStr">
        <is>
          <t>MediumRough</t>
        </is>
      </c>
      <c r="N11" s="22">
        <f>IF(G11&gt;0,F11/G11,0)</f>
        <v/>
      </c>
    </row>
    <row r="12">
      <c r="A12" s="2" t="inlineStr">
        <is>
          <t>B09</t>
        </is>
      </c>
      <c r="B12" s="2" t="inlineStr">
        <is>
          <t>WL_POLIMI-LC_EW04</t>
        </is>
      </c>
      <c r="C12" s="2" t="n">
        <v>3</v>
      </c>
      <c r="D12" s="2" t="inlineStr">
        <is>
          <t>dtu_MT_POLIMI_Isolante rigido-0.1</t>
        </is>
      </c>
      <c r="E12" s="2" t="inlineStr">
        <is>
          <t>dtu_MT_POLIMI_Isolante rigido</t>
        </is>
      </c>
      <c r="F12" s="2" t="n">
        <v>0.1</v>
      </c>
      <c r="G12" s="2" t="n">
        <v>0.04</v>
      </c>
      <c r="H12" s="2" t="n">
        <v>30</v>
      </c>
      <c r="I12" s="2" t="n">
        <v>1452</v>
      </c>
      <c r="J12" s="2" t="n">
        <v>0.95</v>
      </c>
      <c r="K12" s="2" t="n">
        <v>0.7</v>
      </c>
      <c r="L12" s="2" t="n">
        <v>0.7</v>
      </c>
      <c r="M12" s="2" t="inlineStr">
        <is>
          <t>MediumRough</t>
        </is>
      </c>
      <c r="N12" s="22">
        <f>IF(G12&gt;0,F12/G12,0)</f>
        <v/>
      </c>
    </row>
    <row r="13">
      <c r="A13" s="2" t="inlineStr">
        <is>
          <t>B09</t>
        </is>
      </c>
      <c r="B13" s="2" t="inlineStr">
        <is>
          <t>WL_POLIMI-LC_EW04</t>
        </is>
      </c>
      <c r="C13" s="2" t="n">
        <v>4</v>
      </c>
      <c r="D13" s="2" t="inlineStr">
        <is>
          <t>dtu_MT_POLIMI_Membrana impermeabilizzante-0.005</t>
        </is>
      </c>
      <c r="E13" s="2" t="inlineStr">
        <is>
          <t>dtu_MT_POLIMI_Membrana impermeabilizzante</t>
        </is>
      </c>
      <c r="F13" s="2" t="n">
        <v>0.005</v>
      </c>
      <c r="G13" s="2" t="n">
        <v>0.23</v>
      </c>
      <c r="H13" s="2" t="n">
        <v>1100</v>
      </c>
      <c r="I13" s="2" t="n">
        <v>1000</v>
      </c>
      <c r="J13" s="2" t="n">
        <v>0.95</v>
      </c>
      <c r="K13" s="2" t="n">
        <v>0.7</v>
      </c>
      <c r="L13" s="2" t="n">
        <v>0.7</v>
      </c>
      <c r="M13" s="2" t="inlineStr">
        <is>
          <t>MediumRough</t>
        </is>
      </c>
      <c r="N13" s="22">
        <f>IF(G13&gt;0,F13/G13,0)</f>
        <v/>
      </c>
    </row>
    <row r="14">
      <c r="A14" s="2" t="inlineStr">
        <is>
          <t>B09</t>
        </is>
      </c>
      <c r="B14" s="2" t="inlineStr">
        <is>
          <t>WL_POLIMI-LC_EW04</t>
        </is>
      </c>
      <c r="C14" s="2" t="n">
        <v>5</v>
      </c>
      <c r="D14" s="2" t="inlineStr">
        <is>
          <t>dtu_MT_POLIMI_Camera d'aria debolmente ventilata-0.265</t>
        </is>
      </c>
      <c r="E14" s="2" t="inlineStr">
        <is>
          <t>dtu_MT_POLIMI_Camera d'aria debolmente ventilata</t>
        </is>
      </c>
      <c r="F14" s="2" t="n">
        <v>0.265</v>
      </c>
      <c r="G14" s="2" t="n">
        <v>1</v>
      </c>
      <c r="H14" s="2" t="n">
        <v>1</v>
      </c>
      <c r="I14" s="2" t="n">
        <v>1004</v>
      </c>
      <c r="J14" s="2" t="n">
        <v>0.7</v>
      </c>
      <c r="K14" s="2" t="n">
        <v>0.7</v>
      </c>
      <c r="L14" s="2" t="n">
        <v>0.7</v>
      </c>
      <c r="M14" s="2" t="inlineStr">
        <is>
          <t>MediumRough</t>
        </is>
      </c>
      <c r="N14" s="22">
        <f>IF(G14&gt;0,F14/G14,0)</f>
        <v/>
      </c>
    </row>
    <row r="15">
      <c r="A15" s="2" t="inlineStr">
        <is>
          <t>B09</t>
        </is>
      </c>
      <c r="B15" s="2" t="inlineStr">
        <is>
          <t>WL_POLIMI-LC_EW04</t>
        </is>
      </c>
      <c r="C15" s="2" t="n">
        <v>6</v>
      </c>
      <c r="D15" s="2" t="inlineStr">
        <is>
          <t>dtu_MT_POLIMI_CLS-0.425</t>
        </is>
      </c>
      <c r="E15" s="2" t="inlineStr">
        <is>
          <t>dtu_MT_POLIMI_CLS</t>
        </is>
      </c>
      <c r="F15" s="2" t="n">
        <v>0.425</v>
      </c>
      <c r="G15" s="2" t="n">
        <v>1.046</v>
      </c>
      <c r="H15" s="2" t="n">
        <v>2300</v>
      </c>
      <c r="I15" s="2" t="n">
        <v>657</v>
      </c>
      <c r="J15" s="2" t="n">
        <v>0.95</v>
      </c>
      <c r="K15" s="2" t="n">
        <v>0.7</v>
      </c>
      <c r="L15" s="2" t="n">
        <v>0.7</v>
      </c>
      <c r="M15" s="2" t="inlineStr">
        <is>
          <t>MediumRough</t>
        </is>
      </c>
      <c r="N15" s="22">
        <f>IF(G15&gt;0,F15/G15,0)</f>
        <v/>
      </c>
    </row>
    <row r="16">
      <c r="A16" s="2" t="inlineStr">
        <is>
          <t>B09</t>
        </is>
      </c>
      <c r="B16" s="2" t="inlineStr">
        <is>
          <t>WL_POLIMI-LC_EW04</t>
        </is>
      </c>
      <c r="C16" s="2" t="n">
        <v>7</v>
      </c>
      <c r="D16" s="2" t="inlineStr">
        <is>
          <t>dtu_MT__POLIMI_Intonaco interno-0.01</t>
        </is>
      </c>
      <c r="E16" s="2" t="inlineStr">
        <is>
          <t>dtu_MT__POLIMI_Intonaco interno</t>
        </is>
      </c>
      <c r="F16" s="2" t="n">
        <v>0.01</v>
      </c>
      <c r="G16" s="2" t="n">
        <v>0.35</v>
      </c>
      <c r="H16" s="2" t="n">
        <v>1200</v>
      </c>
      <c r="I16" s="2" t="n">
        <v>999</v>
      </c>
      <c r="J16" s="2" t="n">
        <v>0.9</v>
      </c>
      <c r="K16" s="2" t="n">
        <v>0.7</v>
      </c>
      <c r="L16" s="2" t="n">
        <v>0.7</v>
      </c>
      <c r="M16" s="2" t="inlineStr">
        <is>
          <t>MediumRough</t>
        </is>
      </c>
      <c r="N16" s="22">
        <f>IF(G16&gt;0,F16/G16,0)</f>
        <v/>
      </c>
    </row>
    <row r="17">
      <c r="A17" s="2" t="inlineStr">
        <is>
          <t>B09</t>
        </is>
      </c>
      <c r="B17" s="2" t="inlineStr">
        <is>
          <t>WL_POLIMI-LC_EW01</t>
        </is>
      </c>
      <c r="C17" s="2" t="n">
        <v>1</v>
      </c>
      <c r="D17" s="2" t="inlineStr">
        <is>
          <t>dtu_MT_POLIMI_Pannello in alluminio-0.005</t>
        </is>
      </c>
      <c r="E17" s="2" t="inlineStr">
        <is>
          <t>dtu_MT_POLIMI_Pannello in alluminio</t>
        </is>
      </c>
      <c r="F17" s="2" t="n">
        <v>0.005</v>
      </c>
      <c r="G17" s="2" t="n">
        <v>220</v>
      </c>
      <c r="H17" s="2" t="n">
        <v>2700</v>
      </c>
      <c r="I17" s="2" t="n">
        <v>896</v>
      </c>
      <c r="J17" s="2" t="n">
        <v>0.2</v>
      </c>
      <c r="K17" s="2" t="n">
        <v>0.7</v>
      </c>
      <c r="L17" s="2" t="n">
        <v>0.7</v>
      </c>
      <c r="M17" s="2" t="inlineStr">
        <is>
          <t>MediumRough</t>
        </is>
      </c>
      <c r="N17" s="22">
        <f>IF(G17&gt;0,F17/G17,0)</f>
        <v/>
      </c>
    </row>
    <row r="18">
      <c r="A18" s="2" t="inlineStr">
        <is>
          <t>B09</t>
        </is>
      </c>
      <c r="B18" s="2" t="inlineStr">
        <is>
          <t>WL_POLIMI-LC_EW01</t>
        </is>
      </c>
      <c r="C18" s="2" t="n">
        <v>2</v>
      </c>
      <c r="D18" s="2" t="inlineStr">
        <is>
          <t>dtu_MT_POLIMI_Camera d'aria fortemente ventilata-0.035</t>
        </is>
      </c>
      <c r="E18" s="2" t="inlineStr">
        <is>
          <t>dtu_MT_POLIMI_Camera d'aria fortemente ventilata</t>
        </is>
      </c>
      <c r="F18" s="2" t="n">
        <v>0.035</v>
      </c>
      <c r="G18" s="2" t="n">
        <v>0.285</v>
      </c>
      <c r="H18" s="2" t="n">
        <v>1</v>
      </c>
      <c r="I18" s="2" t="n">
        <v>1004</v>
      </c>
      <c r="J18" s="2" t="n">
        <v>0.7</v>
      </c>
      <c r="K18" s="2" t="n">
        <v>0.7</v>
      </c>
      <c r="L18" s="2" t="n">
        <v>0.7</v>
      </c>
      <c r="M18" s="2" t="inlineStr">
        <is>
          <t>MediumRough</t>
        </is>
      </c>
      <c r="N18" s="22">
        <f>IF(G18&gt;0,F18/G18,0)</f>
        <v/>
      </c>
    </row>
    <row r="19">
      <c r="A19" s="2" t="inlineStr">
        <is>
          <t>B09</t>
        </is>
      </c>
      <c r="B19" s="2" t="inlineStr">
        <is>
          <t>WL_POLIMI-LC_EW01</t>
        </is>
      </c>
      <c r="C19" s="2" t="n">
        <v>3</v>
      </c>
      <c r="D19" s="2" t="inlineStr">
        <is>
          <t>dtu_MT_POLIMI_Isolante rigido-0.06</t>
        </is>
      </c>
      <c r="E19" s="2" t="inlineStr">
        <is>
          <t>dtu_MT_POLIMI_Isolante rigido</t>
        </is>
      </c>
      <c r="F19" s="2" t="n">
        <v>0.06</v>
      </c>
      <c r="G19" s="2" t="n">
        <v>0.04</v>
      </c>
      <c r="H19" s="2" t="n">
        <v>30</v>
      </c>
      <c r="I19" s="2" t="n">
        <v>1452</v>
      </c>
      <c r="J19" s="2" t="n">
        <v>0.95</v>
      </c>
      <c r="K19" s="2" t="n">
        <v>0.7</v>
      </c>
      <c r="L19" s="2" t="n">
        <v>0.7</v>
      </c>
      <c r="M19" s="2" t="inlineStr">
        <is>
          <t>MediumRough</t>
        </is>
      </c>
      <c r="N19" s="22">
        <f>IF(G19&gt;0,F19/G19,0)</f>
        <v/>
      </c>
    </row>
    <row r="20">
      <c r="A20" s="2" t="inlineStr">
        <is>
          <t>B09</t>
        </is>
      </c>
      <c r="B20" s="2" t="inlineStr">
        <is>
          <t>WL_POLIMI-LC_EW01</t>
        </is>
      </c>
      <c r="C20" s="2" t="n">
        <v>4</v>
      </c>
      <c r="D20" s="2" t="inlineStr">
        <is>
          <t>dtu_MT_POLIMI_Membrana impermeabilizzante-0.005</t>
        </is>
      </c>
      <c r="E20" s="2" t="inlineStr">
        <is>
          <t>dtu_MT_POLIMI_Membrana impermeabilizzante</t>
        </is>
      </c>
      <c r="F20" s="2" t="n">
        <v>0.005</v>
      </c>
      <c r="G20" s="2" t="n">
        <v>0.23</v>
      </c>
      <c r="H20" s="2" t="n">
        <v>1100</v>
      </c>
      <c r="I20" s="2" t="n">
        <v>1000</v>
      </c>
      <c r="J20" s="2" t="n">
        <v>0.95</v>
      </c>
      <c r="K20" s="2" t="n">
        <v>0.7</v>
      </c>
      <c r="L20" s="2" t="n">
        <v>0.7</v>
      </c>
      <c r="M20" s="2" t="inlineStr">
        <is>
          <t>MediumRough</t>
        </is>
      </c>
      <c r="N20" s="22">
        <f>IF(G20&gt;0,F20/G20,0)</f>
        <v/>
      </c>
    </row>
    <row r="21">
      <c r="A21" s="2" t="inlineStr">
        <is>
          <t>B09</t>
        </is>
      </c>
      <c r="B21" s="2" t="inlineStr">
        <is>
          <t>WL_POLIMI-LC_EW01</t>
        </is>
      </c>
      <c r="C21" s="2" t="n">
        <v>5</v>
      </c>
      <c r="D21" s="2" t="inlineStr">
        <is>
          <t>dtu_MT_POLIMI_Camera d'aria debolmente ventilata-0.2</t>
        </is>
      </c>
      <c r="E21" s="2" t="inlineStr">
        <is>
          <t>dtu_MT_POLIMI_Camera d'aria debolmente ventilata</t>
        </is>
      </c>
      <c r="F21" s="2" t="n">
        <v>0.2</v>
      </c>
      <c r="G21" s="2" t="n">
        <v>1</v>
      </c>
      <c r="H21" s="2" t="n">
        <v>1</v>
      </c>
      <c r="I21" s="2" t="n">
        <v>1004</v>
      </c>
      <c r="J21" s="2" t="n">
        <v>0.7</v>
      </c>
      <c r="K21" s="2" t="n">
        <v>0.7</v>
      </c>
      <c r="L21" s="2" t="n">
        <v>0.7</v>
      </c>
      <c r="M21" s="2" t="inlineStr">
        <is>
          <t>MediumRough</t>
        </is>
      </c>
      <c r="N21" s="22">
        <f>IF(G21&gt;0,F21/G21,0)</f>
        <v/>
      </c>
    </row>
    <row r="22">
      <c r="A22" s="2" t="inlineStr">
        <is>
          <t>B09</t>
        </is>
      </c>
      <c r="B22" s="2" t="inlineStr">
        <is>
          <t>WL_POLIMI-LC_EW01</t>
        </is>
      </c>
      <c r="C22" s="2" t="n">
        <v>6</v>
      </c>
      <c r="D22" s="2" t="inlineStr">
        <is>
          <t>dtu_MT_POLIMI_Isolante morbido-0.065</t>
        </is>
      </c>
      <c r="E22" s="2" t="inlineStr">
        <is>
          <t>dtu_MT_POLIMI_Isolante morbido</t>
        </is>
      </c>
      <c r="F22" s="2" t="n">
        <v>0.065</v>
      </c>
      <c r="G22" s="2" t="n">
        <v>0.04</v>
      </c>
      <c r="H22" s="2" t="n">
        <v>80</v>
      </c>
      <c r="I22" s="2" t="n">
        <v>1028</v>
      </c>
      <c r="J22" s="2" t="n">
        <v>0.95</v>
      </c>
      <c r="K22" s="2" t="n">
        <v>0.7</v>
      </c>
      <c r="L22" s="2" t="n">
        <v>0.7</v>
      </c>
      <c r="M22" s="2" t="inlineStr">
        <is>
          <t>MediumRough</t>
        </is>
      </c>
      <c r="N22" s="22">
        <f>IF(G22&gt;0,F22/G22,0)</f>
        <v/>
      </c>
    </row>
    <row r="23">
      <c r="A23" s="2" t="inlineStr">
        <is>
          <t>B09</t>
        </is>
      </c>
      <c r="B23" s="2" t="inlineStr">
        <is>
          <t>WL_POLIMI-LC_EW01</t>
        </is>
      </c>
      <c r="C23" s="2" t="n">
        <v>7</v>
      </c>
      <c r="D23" s="2" t="inlineStr">
        <is>
          <t>dtu_MT_POLIMI_Gypsum Board-0.025</t>
        </is>
      </c>
      <c r="E23" s="2" t="inlineStr">
        <is>
          <t>dtu_MT_POLIMI_Gypsum Board</t>
        </is>
      </c>
      <c r="F23" s="2" t="n">
        <v>0.025</v>
      </c>
      <c r="G23" s="2" t="n">
        <v>0.21</v>
      </c>
      <c r="H23" s="2" t="n">
        <v>900</v>
      </c>
      <c r="I23" s="2" t="n">
        <v>1000</v>
      </c>
      <c r="J23" s="2" t="n">
        <v>0.9</v>
      </c>
      <c r="K23" s="2" t="n">
        <v>0.7</v>
      </c>
      <c r="L23" s="2" t="n">
        <v>0.7</v>
      </c>
      <c r="M23" s="2" t="inlineStr">
        <is>
          <t>MediumRough</t>
        </is>
      </c>
      <c r="N23" s="22">
        <f>IF(G23&gt;0,F23/G23,0)</f>
        <v/>
      </c>
    </row>
    <row r="24">
      <c r="A24" s="2" t="inlineStr">
        <is>
          <t>B09</t>
        </is>
      </c>
      <c r="B24" s="2" t="inlineStr">
        <is>
          <t>WL_POLIMI-LC_EW01</t>
        </is>
      </c>
      <c r="C24" s="2" t="n">
        <v>8</v>
      </c>
      <c r="D24" s="2" t="inlineStr">
        <is>
          <t>dtu_MT__POLIMI_Intonaco interno-0.01</t>
        </is>
      </c>
      <c r="E24" s="2" t="inlineStr">
        <is>
          <t>dtu_MT__POLIMI_Intonaco interno</t>
        </is>
      </c>
      <c r="F24" s="2" t="n">
        <v>0.01</v>
      </c>
      <c r="G24" s="2" t="n">
        <v>0.35</v>
      </c>
      <c r="H24" s="2" t="n">
        <v>1200</v>
      </c>
      <c r="I24" s="2" t="n">
        <v>999</v>
      </c>
      <c r="J24" s="2" t="n">
        <v>0.9</v>
      </c>
      <c r="K24" s="2" t="n">
        <v>0.7</v>
      </c>
      <c r="L24" s="2" t="n">
        <v>0.7</v>
      </c>
      <c r="M24" s="2" t="inlineStr">
        <is>
          <t>MediumRough</t>
        </is>
      </c>
      <c r="N24" s="22">
        <f>IF(G24&gt;0,F24/G24,0)</f>
        <v/>
      </c>
    </row>
    <row r="25">
      <c r="A25" s="2" t="inlineStr">
        <is>
          <t>B09</t>
        </is>
      </c>
      <c r="B25" s="2" t="inlineStr">
        <is>
          <t>WL_POLIMI-LC_EW03</t>
        </is>
      </c>
      <c r="C25" s="2" t="n">
        <v>1</v>
      </c>
      <c r="D25" s="2" t="inlineStr">
        <is>
          <t>dtu_MT_POLIMI_Pannello in alluminio-0.005</t>
        </is>
      </c>
      <c r="E25" s="2" t="inlineStr">
        <is>
          <t>dtu_MT_POLIMI_Pannello in alluminio</t>
        </is>
      </c>
      <c r="F25" s="2" t="n">
        <v>0.005</v>
      </c>
      <c r="G25" s="2" t="n">
        <v>220</v>
      </c>
      <c r="H25" s="2" t="n">
        <v>2700</v>
      </c>
      <c r="I25" s="2" t="n">
        <v>896</v>
      </c>
      <c r="J25" s="2" t="n">
        <v>0.2</v>
      </c>
      <c r="K25" s="2" t="n">
        <v>0.7</v>
      </c>
      <c r="L25" s="2" t="n">
        <v>0.7</v>
      </c>
      <c r="M25" s="2" t="inlineStr">
        <is>
          <t>MediumRough</t>
        </is>
      </c>
      <c r="N25" s="22">
        <f>IF(G25&gt;0,F25/G25,0)</f>
        <v/>
      </c>
    </row>
    <row r="26">
      <c r="A26" s="2" t="inlineStr">
        <is>
          <t>B09</t>
        </is>
      </c>
      <c r="B26" s="2" t="inlineStr">
        <is>
          <t>WL_POLIMI-LC_EW03</t>
        </is>
      </c>
      <c r="C26" s="2" t="n">
        <v>2</v>
      </c>
      <c r="D26" s="2" t="inlineStr">
        <is>
          <t>dtu_MT_POLIMI_Camera d'aria fortemente ventilata-0.035</t>
        </is>
      </c>
      <c r="E26" s="2" t="inlineStr">
        <is>
          <t>dtu_MT_POLIMI_Camera d'aria fortemente ventilata</t>
        </is>
      </c>
      <c r="F26" s="2" t="n">
        <v>0.035</v>
      </c>
      <c r="G26" s="2" t="n">
        <v>0.285</v>
      </c>
      <c r="H26" s="2" t="n">
        <v>1</v>
      </c>
      <c r="I26" s="2" t="n">
        <v>1004</v>
      </c>
      <c r="J26" s="2" t="n">
        <v>0.7</v>
      </c>
      <c r="K26" s="2" t="n">
        <v>0.7</v>
      </c>
      <c r="L26" s="2" t="n">
        <v>0.7</v>
      </c>
      <c r="M26" s="2" t="inlineStr">
        <is>
          <t>MediumRough</t>
        </is>
      </c>
      <c r="N26" s="22">
        <f>IF(G26&gt;0,F26/G26,0)</f>
        <v/>
      </c>
    </row>
    <row r="27">
      <c r="A27" s="2" t="inlineStr">
        <is>
          <t>B09</t>
        </is>
      </c>
      <c r="B27" s="2" t="inlineStr">
        <is>
          <t>WL_POLIMI-LC_EW03</t>
        </is>
      </c>
      <c r="C27" s="2" t="n">
        <v>3</v>
      </c>
      <c r="D27" s="2" t="inlineStr">
        <is>
          <t>dtu_MT_POLIMI_Isolante rigido-0.1</t>
        </is>
      </c>
      <c r="E27" s="2" t="inlineStr">
        <is>
          <t>dtu_MT_POLIMI_Isolante rigido</t>
        </is>
      </c>
      <c r="F27" s="2" t="n">
        <v>0.1</v>
      </c>
      <c r="G27" s="2" t="n">
        <v>0.04</v>
      </c>
      <c r="H27" s="2" t="n">
        <v>30</v>
      </c>
      <c r="I27" s="2" t="n">
        <v>1452</v>
      </c>
      <c r="J27" s="2" t="n">
        <v>0.95</v>
      </c>
      <c r="K27" s="2" t="n">
        <v>0.7</v>
      </c>
      <c r="L27" s="2" t="n">
        <v>0.7</v>
      </c>
      <c r="M27" s="2" t="inlineStr">
        <is>
          <t>MediumRough</t>
        </is>
      </c>
      <c r="N27" s="22">
        <f>IF(G27&gt;0,F27/G27,0)</f>
        <v/>
      </c>
    </row>
    <row r="28">
      <c r="A28" s="2" t="inlineStr">
        <is>
          <t>B09</t>
        </is>
      </c>
      <c r="B28" s="2" t="inlineStr">
        <is>
          <t>WL_POLIMI-LC_EW03</t>
        </is>
      </c>
      <c r="C28" s="2" t="n">
        <v>4</v>
      </c>
      <c r="D28" s="2" t="inlineStr">
        <is>
          <t>dtu_MT_POLIMI_Membrana impermeabilizzante-0.005</t>
        </is>
      </c>
      <c r="E28" s="2" t="inlineStr">
        <is>
          <t>dtu_MT_POLIMI_Membrana impermeabilizzante</t>
        </is>
      </c>
      <c r="F28" s="2" t="n">
        <v>0.005</v>
      </c>
      <c r="G28" s="2" t="n">
        <v>0.23</v>
      </c>
      <c r="H28" s="2" t="n">
        <v>1100</v>
      </c>
      <c r="I28" s="2" t="n">
        <v>1000</v>
      </c>
      <c r="J28" s="2" t="n">
        <v>0.95</v>
      </c>
      <c r="K28" s="2" t="n">
        <v>0.7</v>
      </c>
      <c r="L28" s="2" t="n">
        <v>0.7</v>
      </c>
      <c r="M28" s="2" t="inlineStr">
        <is>
          <t>MediumRough</t>
        </is>
      </c>
      <c r="N28" s="22">
        <f>IF(G28&gt;0,F28/G28,0)</f>
        <v/>
      </c>
    </row>
    <row r="29">
      <c r="A29" s="2" t="inlineStr">
        <is>
          <t>B09</t>
        </is>
      </c>
      <c r="B29" s="2" t="inlineStr">
        <is>
          <t>WL_POLIMI-LC_EW03</t>
        </is>
      </c>
      <c r="C29" s="2" t="n">
        <v>5</v>
      </c>
      <c r="D29" s="2" t="inlineStr">
        <is>
          <t>dtu_MT_POLIMI_Camera d'aria debolmente ventilata-0.265</t>
        </is>
      </c>
      <c r="E29" s="2" t="inlineStr">
        <is>
          <t>dtu_MT_POLIMI_Camera d'aria debolmente ventilata</t>
        </is>
      </c>
      <c r="F29" s="2" t="n">
        <v>0.265</v>
      </c>
      <c r="G29" s="2" t="n">
        <v>1</v>
      </c>
      <c r="H29" s="2" t="n">
        <v>1</v>
      </c>
      <c r="I29" s="2" t="n">
        <v>1004</v>
      </c>
      <c r="J29" s="2" t="n">
        <v>0.7</v>
      </c>
      <c r="K29" s="2" t="n">
        <v>0.7</v>
      </c>
      <c r="L29" s="2" t="n">
        <v>0.7</v>
      </c>
      <c r="M29" s="2" t="inlineStr">
        <is>
          <t>MediumRough</t>
        </is>
      </c>
      <c r="N29" s="22">
        <f>IF(G29&gt;0,F29/G29,0)</f>
        <v/>
      </c>
    </row>
    <row r="30">
      <c r="A30" s="2" t="inlineStr">
        <is>
          <t>B09</t>
        </is>
      </c>
      <c r="B30" s="2" t="inlineStr">
        <is>
          <t>WL_POLIMI-LC_EW03</t>
        </is>
      </c>
      <c r="C30" s="2" t="n">
        <v>6</v>
      </c>
      <c r="D30" s="2" t="inlineStr">
        <is>
          <t>dtu_MT_POLIMI_CLS-0.425</t>
        </is>
      </c>
      <c r="E30" s="2" t="inlineStr">
        <is>
          <t>dtu_MT_POLIMI_CLS</t>
        </is>
      </c>
      <c r="F30" s="2" t="n">
        <v>0.425</v>
      </c>
      <c r="G30" s="2" t="n">
        <v>1.046</v>
      </c>
      <c r="H30" s="2" t="n">
        <v>2300</v>
      </c>
      <c r="I30" s="2" t="n">
        <v>657</v>
      </c>
      <c r="J30" s="2" t="n">
        <v>0.95</v>
      </c>
      <c r="K30" s="2" t="n">
        <v>0.7</v>
      </c>
      <c r="L30" s="2" t="n">
        <v>0.7</v>
      </c>
      <c r="M30" s="2" t="inlineStr">
        <is>
          <t>MediumRough</t>
        </is>
      </c>
      <c r="N30" s="22">
        <f>IF(G30&gt;0,F30/G30,0)</f>
        <v/>
      </c>
    </row>
    <row r="31">
      <c r="A31" s="2" t="inlineStr">
        <is>
          <t>B09</t>
        </is>
      </c>
      <c r="B31" s="2" t="inlineStr">
        <is>
          <t>WL_POLIMI-LC_EW03</t>
        </is>
      </c>
      <c r="C31" s="2" t="n">
        <v>7</v>
      </c>
      <c r="D31" s="2" t="inlineStr">
        <is>
          <t>dtu_MT_POLIMI_Isolante morbido-0.065</t>
        </is>
      </c>
      <c r="E31" s="2" t="inlineStr">
        <is>
          <t>dtu_MT_POLIMI_Isolante morbido</t>
        </is>
      </c>
      <c r="F31" s="2" t="n">
        <v>0.065</v>
      </c>
      <c r="G31" s="2" t="n">
        <v>0.04</v>
      </c>
      <c r="H31" s="2" t="n">
        <v>80</v>
      </c>
      <c r="I31" s="2" t="n">
        <v>1028</v>
      </c>
      <c r="J31" s="2" t="n">
        <v>0.95</v>
      </c>
      <c r="K31" s="2" t="n">
        <v>0.7</v>
      </c>
      <c r="L31" s="2" t="n">
        <v>0.7</v>
      </c>
      <c r="M31" s="2" t="inlineStr">
        <is>
          <t>MediumRough</t>
        </is>
      </c>
      <c r="N31" s="22">
        <f>IF(G31&gt;0,F31/G31,0)</f>
        <v/>
      </c>
    </row>
    <row r="32">
      <c r="A32" s="2" t="inlineStr">
        <is>
          <t>B09</t>
        </is>
      </c>
      <c r="B32" s="2" t="inlineStr">
        <is>
          <t>WL_POLIMI-LC_EW03</t>
        </is>
      </c>
      <c r="C32" s="2" t="n">
        <v>8</v>
      </c>
      <c r="D32" s="2" t="inlineStr">
        <is>
          <t>dtu_MT_POLIMI_Gypsum Board-0.025</t>
        </is>
      </c>
      <c r="E32" s="2" t="inlineStr">
        <is>
          <t>dtu_MT_POLIMI_Gypsum Board</t>
        </is>
      </c>
      <c r="F32" s="2" t="n">
        <v>0.025</v>
      </c>
      <c r="G32" s="2" t="n">
        <v>0.21</v>
      </c>
      <c r="H32" s="2" t="n">
        <v>900</v>
      </c>
      <c r="I32" s="2" t="n">
        <v>1000</v>
      </c>
      <c r="J32" s="2" t="n">
        <v>0.9</v>
      </c>
      <c r="K32" s="2" t="n">
        <v>0.7</v>
      </c>
      <c r="L32" s="2" t="n">
        <v>0.7</v>
      </c>
      <c r="M32" s="2" t="inlineStr">
        <is>
          <t>MediumRough</t>
        </is>
      </c>
      <c r="N32" s="22">
        <f>IF(G32&gt;0,F32/G32,0)</f>
        <v/>
      </c>
    </row>
    <row r="33">
      <c r="A33" s="2" t="inlineStr">
        <is>
          <t>B09</t>
        </is>
      </c>
      <c r="B33" s="2" t="inlineStr">
        <is>
          <t>WL_POLIMI-LC_EW03</t>
        </is>
      </c>
      <c r="C33" s="2" t="n">
        <v>9</v>
      </c>
      <c r="D33" s="2" t="inlineStr">
        <is>
          <t>dtu_MT__POLIMI_Intonaco interno-0.01</t>
        </is>
      </c>
      <c r="E33" s="2" t="inlineStr">
        <is>
          <t>dtu_MT__POLIMI_Intonaco interno</t>
        </is>
      </c>
      <c r="F33" s="2" t="n">
        <v>0.01</v>
      </c>
      <c r="G33" s="2" t="n">
        <v>0.35</v>
      </c>
      <c r="H33" s="2" t="n">
        <v>1200</v>
      </c>
      <c r="I33" s="2" t="n">
        <v>999</v>
      </c>
      <c r="J33" s="2" t="n">
        <v>0.9</v>
      </c>
      <c r="K33" s="2" t="n">
        <v>0.7</v>
      </c>
      <c r="L33" s="2" t="n">
        <v>0.7</v>
      </c>
      <c r="M33" s="2" t="inlineStr">
        <is>
          <t>MediumRough</t>
        </is>
      </c>
      <c r="N33" s="22">
        <f>IF(G33&gt;0,F33/G33,0)</f>
        <v/>
      </c>
    </row>
    <row r="34">
      <c r="A34" s="2" t="inlineStr">
        <is>
          <t>B09</t>
        </is>
      </c>
      <c r="B34" s="2" t="inlineStr">
        <is>
          <t>WL_POLIMI-LC_EW05</t>
        </is>
      </c>
      <c r="C34" s="2" t="n">
        <v>1</v>
      </c>
      <c r="D34" s="2" t="inlineStr">
        <is>
          <t>dtu_MT_POLIMI_Pannello in alluminio-0.005</t>
        </is>
      </c>
      <c r="E34" s="2" t="inlineStr">
        <is>
          <t>dtu_MT_POLIMI_Pannello in alluminio</t>
        </is>
      </c>
      <c r="F34" s="2" t="n">
        <v>0.005</v>
      </c>
      <c r="G34" s="2" t="n">
        <v>220</v>
      </c>
      <c r="H34" s="2" t="n">
        <v>2700</v>
      </c>
      <c r="I34" s="2" t="n">
        <v>896</v>
      </c>
      <c r="J34" s="2" t="n">
        <v>0.2</v>
      </c>
      <c r="K34" s="2" t="n">
        <v>0.7</v>
      </c>
      <c r="L34" s="2" t="n">
        <v>0.7</v>
      </c>
      <c r="M34" s="2" t="inlineStr">
        <is>
          <t>MediumRough</t>
        </is>
      </c>
      <c r="N34" s="22">
        <f>IF(G34&gt;0,F34/G34,0)</f>
        <v/>
      </c>
    </row>
    <row r="35">
      <c r="A35" s="2" t="inlineStr">
        <is>
          <t>B09</t>
        </is>
      </c>
      <c r="B35" s="2" t="inlineStr">
        <is>
          <t>WL_POLIMI-LC_EW05</t>
        </is>
      </c>
      <c r="C35" s="2" t="n">
        <v>2</v>
      </c>
      <c r="D35" s="2" t="inlineStr">
        <is>
          <t>dtu_MT_POLIMI_Camera d'aria fortemente ventilata-0.035</t>
        </is>
      </c>
      <c r="E35" s="2" t="inlineStr">
        <is>
          <t>dtu_MT_POLIMI_Camera d'aria fortemente ventilata</t>
        </is>
      </c>
      <c r="F35" s="2" t="n">
        <v>0.035</v>
      </c>
      <c r="G35" s="2" t="n">
        <v>0.285</v>
      </c>
      <c r="H35" s="2" t="n">
        <v>1</v>
      </c>
      <c r="I35" s="2" t="n">
        <v>1004</v>
      </c>
      <c r="J35" s="2" t="n">
        <v>0.7</v>
      </c>
      <c r="K35" s="2" t="n">
        <v>0.7</v>
      </c>
      <c r="L35" s="2" t="n">
        <v>0.7</v>
      </c>
      <c r="M35" s="2" t="inlineStr">
        <is>
          <t>MediumRough</t>
        </is>
      </c>
      <c r="N35" s="22">
        <f>IF(G35&gt;0,F35/G35,0)</f>
        <v/>
      </c>
    </row>
    <row r="36">
      <c r="A36" s="2" t="inlineStr">
        <is>
          <t>B09</t>
        </is>
      </c>
      <c r="B36" s="2" t="inlineStr">
        <is>
          <t>WL_POLIMI-LC_EW05</t>
        </is>
      </c>
      <c r="C36" s="2" t="n">
        <v>3</v>
      </c>
      <c r="D36" s="2" t="inlineStr">
        <is>
          <t>dtu_MT_POLIMI_Isolante rigido-0.1</t>
        </is>
      </c>
      <c r="E36" s="2" t="inlineStr">
        <is>
          <t>dtu_MT_POLIMI_Isolante rigido</t>
        </is>
      </c>
      <c r="F36" s="2" t="n">
        <v>0.1</v>
      </c>
      <c r="G36" s="2" t="n">
        <v>0.04</v>
      </c>
      <c r="H36" s="2" t="n">
        <v>30</v>
      </c>
      <c r="I36" s="2" t="n">
        <v>1452</v>
      </c>
      <c r="J36" s="2" t="n">
        <v>0.95</v>
      </c>
      <c r="K36" s="2" t="n">
        <v>0.7</v>
      </c>
      <c r="L36" s="2" t="n">
        <v>0.7</v>
      </c>
      <c r="M36" s="2" t="inlineStr">
        <is>
          <t>MediumRough</t>
        </is>
      </c>
      <c r="N36" s="22">
        <f>IF(G36&gt;0,F36/G36,0)</f>
        <v/>
      </c>
    </row>
    <row r="37">
      <c r="A37" s="2" t="inlineStr">
        <is>
          <t>B09</t>
        </is>
      </c>
      <c r="B37" s="2" t="inlineStr">
        <is>
          <t>WL_POLIMI-LC_EW05</t>
        </is>
      </c>
      <c r="C37" s="2" t="n">
        <v>4</v>
      </c>
      <c r="D37" s="2" t="inlineStr">
        <is>
          <t>dtu_MT_POLIMI_Membrana impermeabilizzante-0.005</t>
        </is>
      </c>
      <c r="E37" s="2" t="inlineStr">
        <is>
          <t>dtu_MT_POLIMI_Membrana impermeabilizzante</t>
        </is>
      </c>
      <c r="F37" s="2" t="n">
        <v>0.005</v>
      </c>
      <c r="G37" s="2" t="n">
        <v>0.23</v>
      </c>
      <c r="H37" s="2" t="n">
        <v>1100</v>
      </c>
      <c r="I37" s="2" t="n">
        <v>1000</v>
      </c>
      <c r="J37" s="2" t="n">
        <v>0.95</v>
      </c>
      <c r="K37" s="2" t="n">
        <v>0.7</v>
      </c>
      <c r="L37" s="2" t="n">
        <v>0.7</v>
      </c>
      <c r="M37" s="2" t="inlineStr">
        <is>
          <t>MediumRough</t>
        </is>
      </c>
      <c r="N37" s="22">
        <f>IF(G37&gt;0,F37/G37,0)</f>
        <v/>
      </c>
    </row>
    <row r="38">
      <c r="A38" s="2" t="inlineStr">
        <is>
          <t>B09</t>
        </is>
      </c>
      <c r="B38" s="2" t="inlineStr">
        <is>
          <t>WL_POLIMI-LC_EW05</t>
        </is>
      </c>
      <c r="C38" s="2" t="n">
        <v>5</v>
      </c>
      <c r="D38" s="2" t="inlineStr">
        <is>
          <t>dtu_MT_POLIMI_Camera d'aria debolmente ventilata-0.265</t>
        </is>
      </c>
      <c r="E38" s="2" t="inlineStr">
        <is>
          <t>dtu_MT_POLIMI_Camera d'aria debolmente ventilata</t>
        </is>
      </c>
      <c r="F38" s="2" t="n">
        <v>0.265</v>
      </c>
      <c r="G38" s="2" t="n">
        <v>1</v>
      </c>
      <c r="H38" s="2" t="n">
        <v>1</v>
      </c>
      <c r="I38" s="2" t="n">
        <v>1004</v>
      </c>
      <c r="J38" s="2" t="n">
        <v>0.7</v>
      </c>
      <c r="K38" s="2" t="n">
        <v>0.7</v>
      </c>
      <c r="L38" s="2" t="n">
        <v>0.7</v>
      </c>
      <c r="M38" s="2" t="inlineStr">
        <is>
          <t>MediumRough</t>
        </is>
      </c>
      <c r="N38" s="22">
        <f>IF(G38&gt;0,F38/G38,0)</f>
        <v/>
      </c>
    </row>
    <row r="39">
      <c r="A39" s="2" t="inlineStr">
        <is>
          <t>B09</t>
        </is>
      </c>
      <c r="B39" s="2" t="inlineStr">
        <is>
          <t>WL_POLIMI-LC_EW05</t>
        </is>
      </c>
      <c r="C39" s="2" t="n">
        <v>6</v>
      </c>
      <c r="D39" s="2" t="inlineStr">
        <is>
          <t>dtu_MT_POLIMI_Camera d'aria fortemente ventilata-0.425</t>
        </is>
      </c>
      <c r="E39" s="2" t="inlineStr">
        <is>
          <t>dtu_MT_POLIMI_Camera d'aria fortemente ventilata</t>
        </is>
      </c>
      <c r="F39" s="2" t="n">
        <v>0.425</v>
      </c>
      <c r="G39" s="2" t="n">
        <v>0.285</v>
      </c>
      <c r="H39" s="2" t="n">
        <v>1</v>
      </c>
      <c r="I39" s="2" t="n">
        <v>1004</v>
      </c>
      <c r="J39" s="2" t="n">
        <v>0.7</v>
      </c>
      <c r="K39" s="2" t="n">
        <v>0.7</v>
      </c>
      <c r="L39" s="2" t="n">
        <v>0.7</v>
      </c>
      <c r="M39" s="2" t="inlineStr">
        <is>
          <t>MediumRough</t>
        </is>
      </c>
      <c r="N39" s="22">
        <f>IF(G39&gt;0,F39/G39,0)</f>
        <v/>
      </c>
    </row>
    <row r="40">
      <c r="A40" s="2" t="inlineStr">
        <is>
          <t>B09</t>
        </is>
      </c>
      <c r="B40" s="2" t="inlineStr">
        <is>
          <t>WL_POLIMI-LC_EW05</t>
        </is>
      </c>
      <c r="C40" s="2" t="n">
        <v>7</v>
      </c>
      <c r="D40" s="2" t="inlineStr">
        <is>
          <t>dtu_MT_POLIMI_Isolante morbido-0.065</t>
        </is>
      </c>
      <c r="E40" s="2" t="inlineStr">
        <is>
          <t>dtu_MT_POLIMI_Isolante morbido</t>
        </is>
      </c>
      <c r="F40" s="2" t="n">
        <v>0.065</v>
      </c>
      <c r="G40" s="2" t="n">
        <v>0.04</v>
      </c>
      <c r="H40" s="2" t="n">
        <v>80</v>
      </c>
      <c r="I40" s="2" t="n">
        <v>1028</v>
      </c>
      <c r="J40" s="2" t="n">
        <v>0.95</v>
      </c>
      <c r="K40" s="2" t="n">
        <v>0.7</v>
      </c>
      <c r="L40" s="2" t="n">
        <v>0.7</v>
      </c>
      <c r="M40" s="2" t="inlineStr">
        <is>
          <t>MediumRough</t>
        </is>
      </c>
      <c r="N40" s="22">
        <f>IF(G40&gt;0,F40/G40,0)</f>
        <v/>
      </c>
    </row>
    <row r="41">
      <c r="A41" s="2" t="inlineStr">
        <is>
          <t>B09</t>
        </is>
      </c>
      <c r="B41" s="2" t="inlineStr">
        <is>
          <t>WL_POLIMI-LC_EW05</t>
        </is>
      </c>
      <c r="C41" s="2" t="n">
        <v>8</v>
      </c>
      <c r="D41" s="2" t="inlineStr">
        <is>
          <t>dtu_MT_POLIMI_Gypsum Board-0.025</t>
        </is>
      </c>
      <c r="E41" s="2" t="inlineStr">
        <is>
          <t>dtu_MT_POLIMI_Gypsum Board</t>
        </is>
      </c>
      <c r="F41" s="2" t="n">
        <v>0.025</v>
      </c>
      <c r="G41" s="2" t="n">
        <v>0.21</v>
      </c>
      <c r="H41" s="2" t="n">
        <v>900</v>
      </c>
      <c r="I41" s="2" t="n">
        <v>1000</v>
      </c>
      <c r="J41" s="2" t="n">
        <v>0.9</v>
      </c>
      <c r="K41" s="2" t="n">
        <v>0.7</v>
      </c>
      <c r="L41" s="2" t="n">
        <v>0.7</v>
      </c>
      <c r="M41" s="2" t="inlineStr">
        <is>
          <t>MediumRough</t>
        </is>
      </c>
      <c r="N41" s="22">
        <f>IF(G41&gt;0,F41/G41,0)</f>
        <v/>
      </c>
    </row>
    <row r="42">
      <c r="A42" s="2" t="inlineStr">
        <is>
          <t>B09</t>
        </is>
      </c>
      <c r="B42" s="2" t="inlineStr">
        <is>
          <t>WL_POLIMI-LC_EW05</t>
        </is>
      </c>
      <c r="C42" s="2" t="n">
        <v>9</v>
      </c>
      <c r="D42" s="2" t="inlineStr">
        <is>
          <t>dtu_MT__POLIMI_Intonaco interno-0.01</t>
        </is>
      </c>
      <c r="E42" s="2" t="inlineStr">
        <is>
          <t>dtu_MT__POLIMI_Intonaco interno</t>
        </is>
      </c>
      <c r="F42" s="2" t="n">
        <v>0.01</v>
      </c>
      <c r="G42" s="2" t="n">
        <v>0.35</v>
      </c>
      <c r="H42" s="2" t="n">
        <v>1200</v>
      </c>
      <c r="I42" s="2" t="n">
        <v>999</v>
      </c>
      <c r="J42" s="2" t="n">
        <v>0.9</v>
      </c>
      <c r="K42" s="2" t="n">
        <v>0.7</v>
      </c>
      <c r="L42" s="2" t="n">
        <v>0.7</v>
      </c>
      <c r="M42" s="2" t="inlineStr">
        <is>
          <t>MediumRough</t>
        </is>
      </c>
      <c r="N42" s="22">
        <f>IF(G42&gt;0,F42/G42,0)</f>
        <v/>
      </c>
    </row>
    <row r="43">
      <c r="A43" s="2" t="inlineStr">
        <is>
          <t>B09</t>
        </is>
      </c>
      <c r="B43" s="2" t="inlineStr">
        <is>
          <t>WL_POLIMI-LC_EW02</t>
        </is>
      </c>
      <c r="C43" s="2" t="n">
        <v>1</v>
      </c>
      <c r="D43" s="2" t="inlineStr">
        <is>
          <t>dtu_MT_POLIMI_Pannello in alluminio-0.005</t>
        </is>
      </c>
      <c r="E43" s="2" t="inlineStr">
        <is>
          <t>dtu_MT_POLIMI_Pannello in alluminio</t>
        </is>
      </c>
      <c r="F43" s="2" t="n">
        <v>0.005</v>
      </c>
      <c r="G43" s="2" t="n">
        <v>220</v>
      </c>
      <c r="H43" s="2" t="n">
        <v>2700</v>
      </c>
      <c r="I43" s="2" t="n">
        <v>896</v>
      </c>
      <c r="J43" s="2" t="n">
        <v>0.2</v>
      </c>
      <c r="K43" s="2" t="n">
        <v>0.7</v>
      </c>
      <c r="L43" s="2" t="n">
        <v>0.7</v>
      </c>
      <c r="M43" s="2" t="inlineStr">
        <is>
          <t>MediumRough</t>
        </is>
      </c>
      <c r="N43" s="22">
        <f>IF(G43&gt;0,F43/G43,0)</f>
        <v/>
      </c>
    </row>
    <row r="44">
      <c r="A44" s="2" t="inlineStr">
        <is>
          <t>B09</t>
        </is>
      </c>
      <c r="B44" s="2" t="inlineStr">
        <is>
          <t>WL_POLIMI-LC_EW02</t>
        </is>
      </c>
      <c r="C44" s="2" t="n">
        <v>2</v>
      </c>
      <c r="D44" s="2" t="inlineStr">
        <is>
          <t>dtu_MT_POLIMI_Camera d'aria fortemente ventilata-0.035</t>
        </is>
      </c>
      <c r="E44" s="2" t="inlineStr">
        <is>
          <t>dtu_MT_POLIMI_Camera d'aria fortemente ventilata</t>
        </is>
      </c>
      <c r="F44" s="2" t="n">
        <v>0.035</v>
      </c>
      <c r="G44" s="2" t="n">
        <v>0.285</v>
      </c>
      <c r="H44" s="2" t="n">
        <v>1</v>
      </c>
      <c r="I44" s="2" t="n">
        <v>1004</v>
      </c>
      <c r="J44" s="2" t="n">
        <v>0.7</v>
      </c>
      <c r="K44" s="2" t="n">
        <v>0.7</v>
      </c>
      <c r="L44" s="2" t="n">
        <v>0.7</v>
      </c>
      <c r="M44" s="2" t="inlineStr">
        <is>
          <t>MediumRough</t>
        </is>
      </c>
      <c r="N44" s="22">
        <f>IF(G44&gt;0,F44/G44,0)</f>
        <v/>
      </c>
    </row>
    <row r="45">
      <c r="A45" s="2" t="inlineStr">
        <is>
          <t>B09</t>
        </is>
      </c>
      <c r="B45" s="2" t="inlineStr">
        <is>
          <t>WL_POLIMI-LC_EW02</t>
        </is>
      </c>
      <c r="C45" s="2" t="n">
        <v>3</v>
      </c>
      <c r="D45" s="2" t="inlineStr">
        <is>
          <t>dtu_MT_POLIMI_Isolante rigido-0.1</t>
        </is>
      </c>
      <c r="E45" s="2" t="inlineStr">
        <is>
          <t>dtu_MT_POLIMI_Isolante rigido</t>
        </is>
      </c>
      <c r="F45" s="2" t="n">
        <v>0.1</v>
      </c>
      <c r="G45" s="2" t="n">
        <v>0.04</v>
      </c>
      <c r="H45" s="2" t="n">
        <v>30</v>
      </c>
      <c r="I45" s="2" t="n">
        <v>1452</v>
      </c>
      <c r="J45" s="2" t="n">
        <v>0.95</v>
      </c>
      <c r="K45" s="2" t="n">
        <v>0.7</v>
      </c>
      <c r="L45" s="2" t="n">
        <v>0.7</v>
      </c>
      <c r="M45" s="2" t="inlineStr">
        <is>
          <t>MediumRough</t>
        </is>
      </c>
      <c r="N45" s="22">
        <f>IF(G45&gt;0,F45/G45,0)</f>
        <v/>
      </c>
    </row>
    <row r="46">
      <c r="A46" s="2" t="inlineStr">
        <is>
          <t>B09</t>
        </is>
      </c>
      <c r="B46" s="2" t="inlineStr">
        <is>
          <t>WL_POLIMI-LC_EW02</t>
        </is>
      </c>
      <c r="C46" s="2" t="n">
        <v>4</v>
      </c>
      <c r="D46" s="2" t="inlineStr">
        <is>
          <t>dtu_MT_POLIMI_Membrana impermeabilizzante-0.005</t>
        </is>
      </c>
      <c r="E46" s="2" t="inlineStr">
        <is>
          <t>dtu_MT_POLIMI_Membrana impermeabilizzante</t>
        </is>
      </c>
      <c r="F46" s="2" t="n">
        <v>0.005</v>
      </c>
      <c r="G46" s="2" t="n">
        <v>0.23</v>
      </c>
      <c r="H46" s="2" t="n">
        <v>1100</v>
      </c>
      <c r="I46" s="2" t="n">
        <v>1000</v>
      </c>
      <c r="J46" s="2" t="n">
        <v>0.95</v>
      </c>
      <c r="K46" s="2" t="n">
        <v>0.7</v>
      </c>
      <c r="L46" s="2" t="n">
        <v>0.7</v>
      </c>
      <c r="M46" s="2" t="inlineStr">
        <is>
          <t>MediumRough</t>
        </is>
      </c>
      <c r="N46" s="22">
        <f>IF(G46&gt;0,F46/G46,0)</f>
        <v/>
      </c>
    </row>
    <row r="47">
      <c r="A47" s="2" t="inlineStr">
        <is>
          <t>B09</t>
        </is>
      </c>
      <c r="B47" s="2" t="inlineStr">
        <is>
          <t>WL_POLIMI-LC_EW02</t>
        </is>
      </c>
      <c r="C47" s="2" t="n">
        <v>5</v>
      </c>
      <c r="D47" s="2" t="inlineStr">
        <is>
          <t>dtu_MT_POLIMI_Camera d'aria debolmente ventilata-0.26</t>
        </is>
      </c>
      <c r="E47" s="2" t="inlineStr">
        <is>
          <t>dtu_MT_POLIMI_Camera d'aria debolmente ventilata</t>
        </is>
      </c>
      <c r="F47" s="2" t="n">
        <v>0.26</v>
      </c>
      <c r="G47" s="2" t="n">
        <v>1</v>
      </c>
      <c r="H47" s="2" t="n">
        <v>1</v>
      </c>
      <c r="I47" s="2" t="n">
        <v>1004</v>
      </c>
      <c r="J47" s="2" t="n">
        <v>0.7</v>
      </c>
      <c r="K47" s="2" t="n">
        <v>0.7</v>
      </c>
      <c r="L47" s="2" t="n">
        <v>0.7</v>
      </c>
      <c r="M47" s="2" t="inlineStr">
        <is>
          <t>MediumRough</t>
        </is>
      </c>
      <c r="N47" s="22">
        <f>IF(G47&gt;0,F47/G47,0)</f>
        <v/>
      </c>
    </row>
    <row r="48">
      <c r="A48" s="2" t="inlineStr">
        <is>
          <t>B09</t>
        </is>
      </c>
      <c r="B48" s="2" t="inlineStr">
        <is>
          <t>WL_POLIMI-LC_EW02</t>
        </is>
      </c>
      <c r="C48" s="2" t="n">
        <v>6</v>
      </c>
      <c r="D48" s="2" t="inlineStr">
        <is>
          <t>dtu_MT_POLIMI_Isolante morbido-0.065</t>
        </is>
      </c>
      <c r="E48" s="2" t="inlineStr">
        <is>
          <t>dtu_MT_POLIMI_Isolante morbido</t>
        </is>
      </c>
      <c r="F48" s="2" t="n">
        <v>0.065</v>
      </c>
      <c r="G48" s="2" t="n">
        <v>0.04</v>
      </c>
      <c r="H48" s="2" t="n">
        <v>80</v>
      </c>
      <c r="I48" s="2" t="n">
        <v>1028</v>
      </c>
      <c r="J48" s="2" t="n">
        <v>0.95</v>
      </c>
      <c r="K48" s="2" t="n">
        <v>0.7</v>
      </c>
      <c r="L48" s="2" t="n">
        <v>0.7</v>
      </c>
      <c r="M48" s="2" t="inlineStr">
        <is>
          <t>MediumRough</t>
        </is>
      </c>
      <c r="N48" s="22">
        <f>IF(G48&gt;0,F48/G48,0)</f>
        <v/>
      </c>
    </row>
    <row r="49">
      <c r="A49" s="2" t="inlineStr">
        <is>
          <t>B09</t>
        </is>
      </c>
      <c r="B49" s="2" t="inlineStr">
        <is>
          <t>WL_POLIMI-LC_EW02</t>
        </is>
      </c>
      <c r="C49" s="2" t="n">
        <v>7</v>
      </c>
      <c r="D49" s="2" t="inlineStr">
        <is>
          <t>dtu_MT_POLIMI_Gypsum Board-0.025</t>
        </is>
      </c>
      <c r="E49" s="2" t="inlineStr">
        <is>
          <t>dtu_MT_POLIMI_Gypsum Board</t>
        </is>
      </c>
      <c r="F49" s="2" t="n">
        <v>0.025</v>
      </c>
      <c r="G49" s="2" t="n">
        <v>0.21</v>
      </c>
      <c r="H49" s="2" t="n">
        <v>900</v>
      </c>
      <c r="I49" s="2" t="n">
        <v>1000</v>
      </c>
      <c r="J49" s="2" t="n">
        <v>0.9</v>
      </c>
      <c r="K49" s="2" t="n">
        <v>0.7</v>
      </c>
      <c r="L49" s="2" t="n">
        <v>0.7</v>
      </c>
      <c r="M49" s="2" t="inlineStr">
        <is>
          <t>MediumRough</t>
        </is>
      </c>
      <c r="N49" s="22">
        <f>IF(G49&gt;0,F49/G49,0)</f>
        <v/>
      </c>
    </row>
    <row r="50">
      <c r="A50" s="2" t="inlineStr">
        <is>
          <t>B09</t>
        </is>
      </c>
      <c r="B50" s="2" t="inlineStr">
        <is>
          <t>WL_POLIMI-LC_EW02</t>
        </is>
      </c>
      <c r="C50" s="2" t="n">
        <v>8</v>
      </c>
      <c r="D50" s="2" t="inlineStr">
        <is>
          <t>dtu_MT__POLIMI_Intonaco interno-0.01</t>
        </is>
      </c>
      <c r="E50" s="2" t="inlineStr">
        <is>
          <t>dtu_MT__POLIMI_Intonaco interno</t>
        </is>
      </c>
      <c r="F50" s="2" t="n">
        <v>0.01</v>
      </c>
      <c r="G50" s="2" t="n">
        <v>0.35</v>
      </c>
      <c r="H50" s="2" t="n">
        <v>1200</v>
      </c>
      <c r="I50" s="2" t="n">
        <v>999</v>
      </c>
      <c r="J50" s="2" t="n">
        <v>0.9</v>
      </c>
      <c r="K50" s="2" t="n">
        <v>0.7</v>
      </c>
      <c r="L50" s="2" t="n">
        <v>0.7</v>
      </c>
      <c r="M50" s="2" t="inlineStr">
        <is>
          <t>MediumRough</t>
        </is>
      </c>
      <c r="N50" s="22">
        <f>IF(G50&gt;0,F50/G50,0)</f>
        <v/>
      </c>
    </row>
    <row r="51">
      <c r="A51" s="2" t="inlineStr">
        <is>
          <t>B09</t>
        </is>
      </c>
      <c r="B51" s="2" t="inlineStr">
        <is>
          <t>WL_POLIMI-LC_FC300-2</t>
        </is>
      </c>
      <c r="C51" s="2" t="n">
        <v>1</v>
      </c>
      <c r="D51" s="2" t="inlineStr">
        <is>
          <t>dtu_MT__POLIMI_Intonaco interno-0.015</t>
        </is>
      </c>
      <c r="E51" s="2" t="inlineStr">
        <is>
          <t>dtu_MT__POLIMI_Intonaco interno</t>
        </is>
      </c>
      <c r="F51" s="2" t="n">
        <v>0.015</v>
      </c>
      <c r="G51" s="2" t="n">
        <v>0.35</v>
      </c>
      <c r="H51" s="2" t="n">
        <v>1200</v>
      </c>
      <c r="I51" s="2" t="n">
        <v>999</v>
      </c>
      <c r="J51" s="2" t="n">
        <v>0.9</v>
      </c>
      <c r="K51" s="2" t="n">
        <v>0.7</v>
      </c>
      <c r="L51" s="2" t="n">
        <v>0.7</v>
      </c>
      <c r="M51" s="2" t="inlineStr">
        <is>
          <t>MediumRough</t>
        </is>
      </c>
      <c r="N51" s="22">
        <f>IF(G51&gt;0,F51/G51,0)</f>
        <v/>
      </c>
    </row>
    <row r="52">
      <c r="A52" s="2" t="inlineStr">
        <is>
          <t>B09</t>
        </is>
      </c>
      <c r="B52" s="2" t="inlineStr">
        <is>
          <t>WL_POLIMI-LC_FC300-2</t>
        </is>
      </c>
      <c r="C52" s="2" t="n">
        <v>2</v>
      </c>
      <c r="D52" s="2" t="inlineStr">
        <is>
          <t>Calcestruzzo- gettato in opera-0.26</t>
        </is>
      </c>
      <c r="E52" s="2" t="inlineStr">
        <is>
          <t>Calcestruzzo- gettato in opera</t>
        </is>
      </c>
      <c r="F52" s="2" t="n">
        <v>0.26</v>
      </c>
      <c r="G52" s="2" t="n">
        <v>1.046</v>
      </c>
      <c r="H52" s="2" t="n">
        <v>2300</v>
      </c>
      <c r="I52" s="2" t="n">
        <v>657</v>
      </c>
      <c r="J52" s="2" t="n">
        <v>0.95</v>
      </c>
      <c r="K52" s="2" t="n">
        <v>0.7</v>
      </c>
      <c r="L52" s="2" t="n">
        <v>0.7</v>
      </c>
      <c r="M52" s="2" t="inlineStr">
        <is>
          <t>MediumRough</t>
        </is>
      </c>
      <c r="N52" s="22">
        <f>IF(G52&gt;0,F52/G52,0)</f>
        <v/>
      </c>
    </row>
    <row r="53">
      <c r="A53" s="2" t="inlineStr">
        <is>
          <t>B09</t>
        </is>
      </c>
      <c r="B53" s="2" t="inlineStr">
        <is>
          <t>WL_POLIMI-LC_FC300-2</t>
        </is>
      </c>
      <c r="C53" s="2" t="n">
        <v>3</v>
      </c>
      <c r="D53" s="2" t="inlineStr">
        <is>
          <t>dtu_MT_POLIMI_Isolante morbido-0.065</t>
        </is>
      </c>
      <c r="E53" s="2" t="inlineStr">
        <is>
          <t>dtu_MT_POLIMI_Isolante morbido</t>
        </is>
      </c>
      <c r="F53" s="2" t="n">
        <v>0.065</v>
      </c>
      <c r="G53" s="2" t="n">
        <v>0.04</v>
      </c>
      <c r="H53" s="2" t="n">
        <v>80</v>
      </c>
      <c r="I53" s="2" t="n">
        <v>1028</v>
      </c>
      <c r="J53" s="2" t="n">
        <v>0.95</v>
      </c>
      <c r="K53" s="2" t="n">
        <v>0.7</v>
      </c>
      <c r="L53" s="2" t="n">
        <v>0.7</v>
      </c>
      <c r="M53" s="2" t="inlineStr">
        <is>
          <t>MediumRough</t>
        </is>
      </c>
      <c r="N53" s="22">
        <f>IF(G53&gt;0,F53/G53,0)</f>
        <v/>
      </c>
    </row>
    <row r="54">
      <c r="A54" s="2" t="inlineStr">
        <is>
          <t>B09</t>
        </is>
      </c>
      <c r="B54" s="2" t="inlineStr">
        <is>
          <t>WL_POLIMI-LC_FC300-2</t>
        </is>
      </c>
      <c r="C54" s="2" t="n">
        <v>4</v>
      </c>
      <c r="D54" s="2" t="inlineStr">
        <is>
          <t>dtu_MT_POLIMI_Gypsum Board-0.025</t>
        </is>
      </c>
      <c r="E54" s="2" t="inlineStr">
        <is>
          <t>dtu_MT_POLIMI_Gypsum Board</t>
        </is>
      </c>
      <c r="F54" s="2" t="n">
        <v>0.025</v>
      </c>
      <c r="G54" s="2" t="n">
        <v>0.21</v>
      </c>
      <c r="H54" s="2" t="n">
        <v>900</v>
      </c>
      <c r="I54" s="2" t="n">
        <v>1000</v>
      </c>
      <c r="J54" s="2" t="n">
        <v>0.9</v>
      </c>
      <c r="K54" s="2" t="n">
        <v>0.7</v>
      </c>
      <c r="L54" s="2" t="n">
        <v>0.7</v>
      </c>
      <c r="M54" s="2" t="inlineStr">
        <is>
          <t>MediumRough</t>
        </is>
      </c>
      <c r="N54" s="22">
        <f>IF(G54&gt;0,F54/G54,0)</f>
        <v/>
      </c>
    </row>
    <row r="55">
      <c r="A55" s="2" t="inlineStr">
        <is>
          <t>B09</t>
        </is>
      </c>
      <c r="B55" s="2" t="inlineStr">
        <is>
          <t>WL_POLIMI-LC_FC300-2</t>
        </is>
      </c>
      <c r="C55" s="2" t="n">
        <v>5</v>
      </c>
      <c r="D55" s="2" t="inlineStr">
        <is>
          <t>dtu_MT__POLIMI_Intonaco interno-0.01</t>
        </is>
      </c>
      <c r="E55" s="2" t="inlineStr">
        <is>
          <t>dtu_MT__POLIMI_Intonaco interno</t>
        </is>
      </c>
      <c r="F55" s="2" t="n">
        <v>0.01</v>
      </c>
      <c r="G55" s="2" t="n">
        <v>0.35</v>
      </c>
      <c r="H55" s="2" t="n">
        <v>1200</v>
      </c>
      <c r="I55" s="2" t="n">
        <v>999</v>
      </c>
      <c r="J55" s="2" t="n">
        <v>0.9</v>
      </c>
      <c r="K55" s="2" t="n">
        <v>0.7</v>
      </c>
      <c r="L55" s="2" t="n">
        <v>0.7</v>
      </c>
      <c r="M55" s="2" t="inlineStr">
        <is>
          <t>MediumRough</t>
        </is>
      </c>
      <c r="N55" s="22">
        <f>IF(G55&gt;0,F55/G55,0)</f>
        <v/>
      </c>
    </row>
    <row r="56">
      <c r="A56" s="2" t="inlineStr">
        <is>
          <t>B09</t>
        </is>
      </c>
      <c r="B56" s="2" t="inlineStr">
        <is>
          <t>WL_POLIMI-LC_FC300-3</t>
        </is>
      </c>
      <c r="C56" s="2" t="n">
        <v>1</v>
      </c>
      <c r="D56" s="2" t="inlineStr">
        <is>
          <t>dtu_MT__POLIMI_Intonaco interno-0.015</t>
        </is>
      </c>
      <c r="E56" s="2" t="inlineStr">
        <is>
          <t>dtu_MT__POLIMI_Intonaco interno</t>
        </is>
      </c>
      <c r="F56" s="2" t="n">
        <v>0.015</v>
      </c>
      <c r="G56" s="2" t="n">
        <v>0.35</v>
      </c>
      <c r="H56" s="2" t="n">
        <v>1200</v>
      </c>
      <c r="I56" s="2" t="n">
        <v>999</v>
      </c>
      <c r="J56" s="2" t="n">
        <v>0.9</v>
      </c>
      <c r="K56" s="2" t="n">
        <v>0.7</v>
      </c>
      <c r="L56" s="2" t="n">
        <v>0.7</v>
      </c>
      <c r="M56" s="2" t="inlineStr">
        <is>
          <t>MediumRough</t>
        </is>
      </c>
      <c r="N56" s="22">
        <f>IF(G56&gt;0,F56/G56,0)</f>
        <v/>
      </c>
    </row>
    <row r="57">
      <c r="A57" s="2" t="inlineStr">
        <is>
          <t>B09</t>
        </is>
      </c>
      <c r="B57" s="2" t="inlineStr">
        <is>
          <t>WL_POLIMI-LC_FC300-3</t>
        </is>
      </c>
      <c r="C57" s="2" t="n">
        <v>2</v>
      </c>
      <c r="D57" s="2" t="inlineStr">
        <is>
          <t>dtu_MT_POLIMI_Gypsum Board-0.025</t>
        </is>
      </c>
      <c r="E57" s="2" t="inlineStr">
        <is>
          <t>dtu_MT_POLIMI_Gypsum Board</t>
        </is>
      </c>
      <c r="F57" s="2" t="n">
        <v>0.025</v>
      </c>
      <c r="G57" s="2" t="n">
        <v>0.21</v>
      </c>
      <c r="H57" s="2" t="n">
        <v>900</v>
      </c>
      <c r="I57" s="2" t="n">
        <v>1000</v>
      </c>
      <c r="J57" s="2" t="n">
        <v>0.9</v>
      </c>
      <c r="K57" s="2" t="n">
        <v>0.7</v>
      </c>
      <c r="L57" s="2" t="n">
        <v>0.7</v>
      </c>
      <c r="M57" s="2" t="inlineStr">
        <is>
          <t>MediumRough</t>
        </is>
      </c>
      <c r="N57" s="22">
        <f>IF(G57&gt;0,F57/G57,0)</f>
        <v/>
      </c>
    </row>
    <row r="58">
      <c r="A58" s="2" t="inlineStr">
        <is>
          <t>B09</t>
        </is>
      </c>
      <c r="B58" s="2" t="inlineStr">
        <is>
          <t>WL_POLIMI-LC_FC300-3</t>
        </is>
      </c>
      <c r="C58" s="2" t="n">
        <v>3</v>
      </c>
      <c r="D58" s="2" t="inlineStr">
        <is>
          <t>dtu_MT_POLIMI_Isolante morbido-0.1</t>
        </is>
      </c>
      <c r="E58" s="2" t="inlineStr">
        <is>
          <t>dtu_MT_POLIMI_Isolante morbido</t>
        </is>
      </c>
      <c r="F58" s="2" t="n">
        <v>0.1</v>
      </c>
      <c r="G58" s="2" t="n">
        <v>0.04</v>
      </c>
      <c r="H58" s="2" t="n">
        <v>80</v>
      </c>
      <c r="I58" s="2" t="n">
        <v>1028</v>
      </c>
      <c r="J58" s="2" t="n">
        <v>0.95</v>
      </c>
      <c r="K58" s="2" t="n">
        <v>0.7</v>
      </c>
      <c r="L58" s="2" t="n">
        <v>0.7</v>
      </c>
      <c r="M58" s="2" t="inlineStr">
        <is>
          <t>MediumRough</t>
        </is>
      </c>
      <c r="N58" s="22">
        <f>IF(G58&gt;0,F58/G58,0)</f>
        <v/>
      </c>
    </row>
    <row r="59">
      <c r="A59" s="2" t="inlineStr">
        <is>
          <t>B09</t>
        </is>
      </c>
      <c r="B59" s="2" t="inlineStr">
        <is>
          <t>WL_POLIMI-LC_FC300-3</t>
        </is>
      </c>
      <c r="C59" s="2" t="n">
        <v>4</v>
      </c>
      <c r="D59" s="2" t="inlineStr">
        <is>
          <t>dtu_MT_POLIMI_Camera d'aria debolmente ventilata-0.15</t>
        </is>
      </c>
      <c r="E59" s="2" t="inlineStr">
        <is>
          <t>dtu_MT_POLIMI_Camera d'aria debolmente ventilata</t>
        </is>
      </c>
      <c r="F59" s="2" t="n">
        <v>0.15</v>
      </c>
      <c r="G59" s="2" t="n">
        <v>1</v>
      </c>
      <c r="H59" s="2" t="n">
        <v>1</v>
      </c>
      <c r="I59" s="2" t="n">
        <v>1004</v>
      </c>
      <c r="J59" s="2" t="n">
        <v>0.7</v>
      </c>
      <c r="K59" s="2" t="n">
        <v>0.7</v>
      </c>
      <c r="L59" s="2" t="n">
        <v>0.7</v>
      </c>
      <c r="M59" s="2" t="inlineStr">
        <is>
          <t>MediumRough</t>
        </is>
      </c>
      <c r="N59" s="22">
        <f>IF(G59&gt;0,F59/G59,0)</f>
        <v/>
      </c>
    </row>
    <row r="60">
      <c r="A60" s="2" t="inlineStr">
        <is>
          <t>B09</t>
        </is>
      </c>
      <c r="B60" s="2" t="inlineStr">
        <is>
          <t>WL_POLIMI-LC_FC300-3</t>
        </is>
      </c>
      <c r="C60" s="2" t="n">
        <v>5</v>
      </c>
      <c r="D60" s="2" t="inlineStr">
        <is>
          <t>Calcestruzzo- gettato in opera-0.26</t>
        </is>
      </c>
      <c r="E60" s="2" t="inlineStr">
        <is>
          <t>Calcestruzzo- gettato in opera</t>
        </is>
      </c>
      <c r="F60" s="2" t="n">
        <v>0.26</v>
      </c>
      <c r="G60" s="2" t="n">
        <v>1.046</v>
      </c>
      <c r="H60" s="2" t="n">
        <v>2300</v>
      </c>
      <c r="I60" s="2" t="n">
        <v>657</v>
      </c>
      <c r="J60" s="2" t="n">
        <v>0.95</v>
      </c>
      <c r="K60" s="2" t="n">
        <v>0.7</v>
      </c>
      <c r="L60" s="2" t="n">
        <v>0.7</v>
      </c>
      <c r="M60" s="2" t="inlineStr">
        <is>
          <t>MediumRough</t>
        </is>
      </c>
      <c r="N60" s="22">
        <f>IF(G60&gt;0,F60/G60,0)</f>
        <v/>
      </c>
    </row>
    <row r="61">
      <c r="A61" s="2" t="inlineStr">
        <is>
          <t>B09</t>
        </is>
      </c>
      <c r="B61" s="2" t="inlineStr">
        <is>
          <t>WL_POLIMI-LC_FC300-3</t>
        </is>
      </c>
      <c r="C61" s="2" t="n">
        <v>6</v>
      </c>
      <c r="D61" s="2" t="inlineStr">
        <is>
          <t>dtu_MT_POLIMI_Isolante morbido-0.065</t>
        </is>
      </c>
      <c r="E61" s="2" t="inlineStr">
        <is>
          <t>dtu_MT_POLIMI_Isolante morbido</t>
        </is>
      </c>
      <c r="F61" s="2" t="n">
        <v>0.065</v>
      </c>
      <c r="G61" s="2" t="n">
        <v>0.04</v>
      </c>
      <c r="H61" s="2" t="n">
        <v>80</v>
      </c>
      <c r="I61" s="2" t="n">
        <v>1028</v>
      </c>
      <c r="J61" s="2" t="n">
        <v>0.95</v>
      </c>
      <c r="K61" s="2" t="n">
        <v>0.7</v>
      </c>
      <c r="L61" s="2" t="n">
        <v>0.7</v>
      </c>
      <c r="M61" s="2" t="inlineStr">
        <is>
          <t>MediumRough</t>
        </is>
      </c>
      <c r="N61" s="22">
        <f>IF(G61&gt;0,F61/G61,0)</f>
        <v/>
      </c>
    </row>
    <row r="62">
      <c r="A62" s="2" t="inlineStr">
        <is>
          <t>B09</t>
        </is>
      </c>
      <c r="B62" s="2" t="inlineStr">
        <is>
          <t>WL_POLIMI-LC_FC300-3</t>
        </is>
      </c>
      <c r="C62" s="2" t="n">
        <v>7</v>
      </c>
      <c r="D62" s="2" t="inlineStr">
        <is>
          <t>dtu_MT_POLIMI_Gypsum Board-0.025</t>
        </is>
      </c>
      <c r="E62" s="2" t="inlineStr">
        <is>
          <t>dtu_MT_POLIMI_Gypsum Board</t>
        </is>
      </c>
      <c r="F62" s="2" t="n">
        <v>0.025</v>
      </c>
      <c r="G62" s="2" t="n">
        <v>0.21</v>
      </c>
      <c r="H62" s="2" t="n">
        <v>900</v>
      </c>
      <c r="I62" s="2" t="n">
        <v>1000</v>
      </c>
      <c r="J62" s="2" t="n">
        <v>0.9</v>
      </c>
      <c r="K62" s="2" t="n">
        <v>0.7</v>
      </c>
      <c r="L62" s="2" t="n">
        <v>0.7</v>
      </c>
      <c r="M62" s="2" t="inlineStr">
        <is>
          <t>MediumRough</t>
        </is>
      </c>
      <c r="N62" s="22">
        <f>IF(G62&gt;0,F62/G62,0)</f>
        <v/>
      </c>
    </row>
    <row r="63">
      <c r="A63" s="2" t="inlineStr">
        <is>
          <t>B09</t>
        </is>
      </c>
      <c r="B63" s="2" t="inlineStr">
        <is>
          <t>WL_POLIMI-LC_FC300-3</t>
        </is>
      </c>
      <c r="C63" s="2" t="n">
        <v>8</v>
      </c>
      <c r="D63" s="2" t="inlineStr">
        <is>
          <t>dtu_MT__POLIMI_Intonaco interno-0.01</t>
        </is>
      </c>
      <c r="E63" s="2" t="inlineStr">
        <is>
          <t>dtu_MT__POLIMI_Intonaco interno</t>
        </is>
      </c>
      <c r="F63" s="2" t="n">
        <v>0.01</v>
      </c>
      <c r="G63" s="2" t="n">
        <v>0.35</v>
      </c>
      <c r="H63" s="2" t="n">
        <v>1200</v>
      </c>
      <c r="I63" s="2" t="n">
        <v>999</v>
      </c>
      <c r="J63" s="2" t="n">
        <v>0.9</v>
      </c>
      <c r="K63" s="2" t="n">
        <v>0.7</v>
      </c>
      <c r="L63" s="2" t="n">
        <v>0.7</v>
      </c>
      <c r="M63" s="2" t="inlineStr">
        <is>
          <t>MediumRough</t>
        </is>
      </c>
      <c r="N63" s="22">
        <f>IF(G63&gt;0,F63/G63,0)</f>
        <v/>
      </c>
    </row>
    <row r="64">
      <c r="A64" s="2" t="inlineStr">
        <is>
          <t>B09</t>
        </is>
      </c>
      <c r="B64" s="2" t="inlineStr">
        <is>
          <t>WL_POLIMI-LC_IW02</t>
        </is>
      </c>
      <c r="C64" s="2" t="n">
        <v>1</v>
      </c>
      <c r="D64" s="2" t="inlineStr">
        <is>
          <t>dtu_MT__POLIMI_Intonaco interno-0.01</t>
        </is>
      </c>
      <c r="E64" s="2" t="inlineStr">
        <is>
          <t>dtu_MT__POLIMI_Intonaco interno</t>
        </is>
      </c>
      <c r="F64" s="2" t="n">
        <v>0.01</v>
      </c>
      <c r="G64" s="2" t="n">
        <v>0.35</v>
      </c>
      <c r="H64" s="2" t="n">
        <v>1200</v>
      </c>
      <c r="I64" s="2" t="n">
        <v>999</v>
      </c>
      <c r="J64" s="2" t="n">
        <v>0.9</v>
      </c>
      <c r="K64" s="2" t="n">
        <v>0.7</v>
      </c>
      <c r="L64" s="2" t="n">
        <v>0.7</v>
      </c>
      <c r="M64" s="2" t="inlineStr">
        <is>
          <t>MediumRough</t>
        </is>
      </c>
      <c r="N64" s="22">
        <f>IF(G64&gt;0,F64/G64,0)</f>
        <v/>
      </c>
    </row>
    <row r="65">
      <c r="A65" s="2" t="inlineStr">
        <is>
          <t>B09</t>
        </is>
      </c>
      <c r="B65" s="2" t="inlineStr">
        <is>
          <t>WL_POLIMI-LC_IW02</t>
        </is>
      </c>
      <c r="C65" s="2" t="n">
        <v>2</v>
      </c>
      <c r="D65" s="2" t="inlineStr">
        <is>
          <t>dtu_MT_POLIMI_Gypsum Board-0.025</t>
        </is>
      </c>
      <c r="E65" s="2" t="inlineStr">
        <is>
          <t>dtu_MT_POLIMI_Gypsum Board</t>
        </is>
      </c>
      <c r="F65" s="2" t="n">
        <v>0.025</v>
      </c>
      <c r="G65" s="2" t="n">
        <v>0.21</v>
      </c>
      <c r="H65" s="2" t="n">
        <v>900</v>
      </c>
      <c r="I65" s="2" t="n">
        <v>1000</v>
      </c>
      <c r="J65" s="2" t="n">
        <v>0.9</v>
      </c>
      <c r="K65" s="2" t="n">
        <v>0.7</v>
      </c>
      <c r="L65" s="2" t="n">
        <v>0.7</v>
      </c>
      <c r="M65" s="2" t="inlineStr">
        <is>
          <t>MediumRough</t>
        </is>
      </c>
      <c r="N65" s="22">
        <f>IF(G65&gt;0,F65/G65,0)</f>
        <v/>
      </c>
    </row>
    <row r="66">
      <c r="A66" s="2" t="inlineStr">
        <is>
          <t>B09</t>
        </is>
      </c>
      <c r="B66" s="2" t="inlineStr">
        <is>
          <t>WL_POLIMI-LC_IW02</t>
        </is>
      </c>
      <c r="C66" s="2" t="n">
        <v>3</v>
      </c>
      <c r="D66" s="2" t="inlineStr">
        <is>
          <t>dtu_MT_POLIMI_Isolante morbido-0.04</t>
        </is>
      </c>
      <c r="E66" s="2" t="inlineStr">
        <is>
          <t>dtu_MT_POLIMI_Isolante morbido</t>
        </is>
      </c>
      <c r="F66" s="2" t="n">
        <v>0.04</v>
      </c>
      <c r="G66" s="2" t="n">
        <v>0.04</v>
      </c>
      <c r="H66" s="2" t="n">
        <v>80</v>
      </c>
      <c r="I66" s="2" t="n">
        <v>1028</v>
      </c>
      <c r="J66" s="2" t="n">
        <v>0.95</v>
      </c>
      <c r="K66" s="2" t="n">
        <v>0.7</v>
      </c>
      <c r="L66" s="2" t="n">
        <v>0.7</v>
      </c>
      <c r="M66" s="2" t="inlineStr">
        <is>
          <t>MediumRough</t>
        </is>
      </c>
      <c r="N66" s="22">
        <f>IF(G66&gt;0,F66/G66,0)</f>
        <v/>
      </c>
    </row>
    <row r="67">
      <c r="A67" s="2" t="inlineStr">
        <is>
          <t>B09</t>
        </is>
      </c>
      <c r="B67" s="2" t="inlineStr">
        <is>
          <t>WL_POLIMI-LC_IW02</t>
        </is>
      </c>
      <c r="C67" s="2" t="n">
        <v>4</v>
      </c>
      <c r="D67" s="2" t="inlineStr">
        <is>
          <t>dtu_MT_POLIMI_Camera d'aria non ventilata-0.065</t>
        </is>
      </c>
      <c r="E67" s="2" t="inlineStr">
        <is>
          <t>dtu_MT_POLIMI_Camera d'aria non ventilata</t>
        </is>
      </c>
      <c r="F67" s="2" t="n">
        <v>0.065</v>
      </c>
      <c r="G67" s="2" t="n">
        <v>1</v>
      </c>
      <c r="H67" s="2" t="n">
        <v>1</v>
      </c>
      <c r="I67" s="2" t="n">
        <v>1003</v>
      </c>
      <c r="J67" s="2" t="n">
        <v>0.7</v>
      </c>
      <c r="K67" s="2" t="n">
        <v>0.7</v>
      </c>
      <c r="L67" s="2" t="n">
        <v>0.7</v>
      </c>
      <c r="M67" s="2" t="inlineStr">
        <is>
          <t>MediumRough</t>
        </is>
      </c>
      <c r="N67" s="22">
        <f>IF(G67&gt;0,F67/G67,0)</f>
        <v/>
      </c>
    </row>
    <row r="68">
      <c r="A68" s="2" t="inlineStr">
        <is>
          <t>B09</t>
        </is>
      </c>
      <c r="B68" s="2" t="inlineStr">
        <is>
          <t>WL_POLIMI-LC_IW02</t>
        </is>
      </c>
      <c r="C68" s="2" t="n">
        <v>5</v>
      </c>
      <c r="D68" s="2" t="inlineStr">
        <is>
          <t>dtu_MT_POLIMI_Isolante morbido-0.04</t>
        </is>
      </c>
      <c r="E68" s="2" t="inlineStr">
        <is>
          <t>dtu_MT_POLIMI_Isolante morbido</t>
        </is>
      </c>
      <c r="F68" s="2" t="n">
        <v>0.04</v>
      </c>
      <c r="G68" s="2" t="n">
        <v>0.04</v>
      </c>
      <c r="H68" s="2" t="n">
        <v>80</v>
      </c>
      <c r="I68" s="2" t="n">
        <v>1028</v>
      </c>
      <c r="J68" s="2" t="n">
        <v>0.95</v>
      </c>
      <c r="K68" s="2" t="n">
        <v>0.7</v>
      </c>
      <c r="L68" s="2" t="n">
        <v>0.7</v>
      </c>
      <c r="M68" s="2" t="inlineStr">
        <is>
          <t>MediumRough</t>
        </is>
      </c>
      <c r="N68" s="22">
        <f>IF(G68&gt;0,F68/G68,0)</f>
        <v/>
      </c>
    </row>
    <row r="69">
      <c r="A69" s="2" t="inlineStr">
        <is>
          <t>B09</t>
        </is>
      </c>
      <c r="B69" s="2" t="inlineStr">
        <is>
          <t>WL_POLIMI-LC_IW02</t>
        </is>
      </c>
      <c r="C69" s="2" t="n">
        <v>6</v>
      </c>
      <c r="D69" s="2" t="inlineStr">
        <is>
          <t>dtu_MT_POLIMI_Gypsum Board-0.025</t>
        </is>
      </c>
      <c r="E69" s="2" t="inlineStr">
        <is>
          <t>dtu_MT_POLIMI_Gypsum Board</t>
        </is>
      </c>
      <c r="F69" s="2" t="n">
        <v>0.025</v>
      </c>
      <c r="G69" s="2" t="n">
        <v>0.21</v>
      </c>
      <c r="H69" s="2" t="n">
        <v>900</v>
      </c>
      <c r="I69" s="2" t="n">
        <v>1000</v>
      </c>
      <c r="J69" s="2" t="n">
        <v>0.9</v>
      </c>
      <c r="K69" s="2" t="n">
        <v>0.7</v>
      </c>
      <c r="L69" s="2" t="n">
        <v>0.7</v>
      </c>
      <c r="M69" s="2" t="inlineStr">
        <is>
          <t>MediumRough</t>
        </is>
      </c>
      <c r="N69" s="22">
        <f>IF(G69&gt;0,F69/G69,0)</f>
        <v/>
      </c>
    </row>
    <row r="70">
      <c r="A70" s="2" t="inlineStr">
        <is>
          <t>B09</t>
        </is>
      </c>
      <c r="B70" s="2" t="inlineStr">
        <is>
          <t>WL_POLIMI-LC_IW02</t>
        </is>
      </c>
      <c r="C70" s="2" t="n">
        <v>7</v>
      </c>
      <c r="D70" s="2" t="inlineStr">
        <is>
          <t>dtu_MT_POLIMI_Intonaco gesso puro-0.01</t>
        </is>
      </c>
      <c r="E70" s="2" t="inlineStr">
        <is>
          <t>dtu_MT_POLIMI_Intonaco gesso puro</t>
        </is>
      </c>
      <c r="F70" s="2" t="n">
        <v>0.01</v>
      </c>
      <c r="G70" s="2" t="n">
        <v>0.35</v>
      </c>
      <c r="H70" s="2" t="n">
        <v>1200</v>
      </c>
      <c r="I70" s="2" t="n">
        <v>999</v>
      </c>
      <c r="J70" s="2" t="n">
        <v>0.9</v>
      </c>
      <c r="K70" s="2" t="n">
        <v>0.7</v>
      </c>
      <c r="L70" s="2" t="n">
        <v>0.7</v>
      </c>
      <c r="M70" s="2" t="inlineStr">
        <is>
          <t>MediumRough</t>
        </is>
      </c>
      <c r="N70" s="22">
        <f>IF(G70&gt;0,F70/G70,0)</f>
        <v/>
      </c>
    </row>
    <row r="71">
      <c r="A71" s="2" t="inlineStr">
        <is>
          <t>B09</t>
        </is>
      </c>
      <c r="B71" s="2" t="inlineStr">
        <is>
          <t>WL_POLIMI-LC_IW03</t>
        </is>
      </c>
      <c r="C71" s="2" t="n">
        <v>1</v>
      </c>
      <c r="D71" s="2" t="inlineStr">
        <is>
          <t>dtu_MT__POLIMI_Intonaco interno-0.01</t>
        </is>
      </c>
      <c r="E71" s="2" t="inlineStr">
        <is>
          <t>dtu_MT__POLIMI_Intonaco interno</t>
        </is>
      </c>
      <c r="F71" s="2" t="n">
        <v>0.01</v>
      </c>
      <c r="G71" s="2" t="n">
        <v>0.35</v>
      </c>
      <c r="H71" s="2" t="n">
        <v>1200</v>
      </c>
      <c r="I71" s="2" t="n">
        <v>999</v>
      </c>
      <c r="J71" s="2" t="n">
        <v>0.9</v>
      </c>
      <c r="K71" s="2" t="n">
        <v>0.7</v>
      </c>
      <c r="L71" s="2" t="n">
        <v>0.7</v>
      </c>
      <c r="M71" s="2" t="inlineStr">
        <is>
          <t>MediumRough</t>
        </is>
      </c>
      <c r="N71" s="22">
        <f>IF(G71&gt;0,F71/G71,0)</f>
        <v/>
      </c>
    </row>
    <row r="72">
      <c r="A72" s="2" t="inlineStr">
        <is>
          <t>B09</t>
        </is>
      </c>
      <c r="B72" s="2" t="inlineStr">
        <is>
          <t>WL_POLIMI-LC_IW03</t>
        </is>
      </c>
      <c r="C72" s="2" t="n">
        <v>2</v>
      </c>
      <c r="D72" s="2" t="inlineStr">
        <is>
          <t>dtu_MT_POLIMI_Gypsum Board-0.025</t>
        </is>
      </c>
      <c r="E72" s="2" t="inlineStr">
        <is>
          <t>dtu_MT_POLIMI_Gypsum Board</t>
        </is>
      </c>
      <c r="F72" s="2" t="n">
        <v>0.025</v>
      </c>
      <c r="G72" s="2" t="n">
        <v>0.21</v>
      </c>
      <c r="H72" s="2" t="n">
        <v>900</v>
      </c>
      <c r="I72" s="2" t="n">
        <v>1000</v>
      </c>
      <c r="J72" s="2" t="n">
        <v>0.9</v>
      </c>
      <c r="K72" s="2" t="n">
        <v>0.7</v>
      </c>
      <c r="L72" s="2" t="n">
        <v>0.7</v>
      </c>
      <c r="M72" s="2" t="inlineStr">
        <is>
          <t>MediumRough</t>
        </is>
      </c>
      <c r="N72" s="22">
        <f>IF(G72&gt;0,F72/G72,0)</f>
        <v/>
      </c>
    </row>
    <row r="73">
      <c r="A73" s="2" t="inlineStr">
        <is>
          <t>B09</t>
        </is>
      </c>
      <c r="B73" s="2" t="inlineStr">
        <is>
          <t>WL_POLIMI-LC_IW03</t>
        </is>
      </c>
      <c r="C73" s="2" t="n">
        <v>3</v>
      </c>
      <c r="D73" s="2" t="inlineStr">
        <is>
          <t>dtu_MT_POLIMI_Isolante morbido-0.065</t>
        </is>
      </c>
      <c r="E73" s="2" t="inlineStr">
        <is>
          <t>dtu_MT_POLIMI_Isolante morbido</t>
        </is>
      </c>
      <c r="F73" s="2" t="n">
        <v>0.065</v>
      </c>
      <c r="G73" s="2" t="n">
        <v>0.04</v>
      </c>
      <c r="H73" s="2" t="n">
        <v>80</v>
      </c>
      <c r="I73" s="2" t="n">
        <v>1028</v>
      </c>
      <c r="J73" s="2" t="n">
        <v>0.95</v>
      </c>
      <c r="K73" s="2" t="n">
        <v>0.7</v>
      </c>
      <c r="L73" s="2" t="n">
        <v>0.7</v>
      </c>
      <c r="M73" s="2" t="inlineStr">
        <is>
          <t>MediumRough</t>
        </is>
      </c>
      <c r="N73" s="22">
        <f>IF(G73&gt;0,F73/G73,0)</f>
        <v/>
      </c>
    </row>
    <row r="74">
      <c r="A74" s="2" t="inlineStr">
        <is>
          <t>B09</t>
        </is>
      </c>
      <c r="B74" s="2" t="inlineStr">
        <is>
          <t>WL_POLIMI-LC_IW04</t>
        </is>
      </c>
      <c r="C74" s="2" t="n">
        <v>1</v>
      </c>
      <c r="D74" s="2" t="inlineStr">
        <is>
          <t>dtu_MT__POLIMI_Intonaco interno-0.01</t>
        </is>
      </c>
      <c r="E74" s="2" t="inlineStr">
        <is>
          <t>dtu_MT__POLIMI_Intonaco interno</t>
        </is>
      </c>
      <c r="F74" s="2" t="n">
        <v>0.01</v>
      </c>
      <c r="G74" s="2" t="n">
        <v>0.35</v>
      </c>
      <c r="H74" s="2" t="n">
        <v>1200</v>
      </c>
      <c r="I74" s="2" t="n">
        <v>999</v>
      </c>
      <c r="J74" s="2" t="n">
        <v>0.9</v>
      </c>
      <c r="K74" s="2" t="n">
        <v>0.7</v>
      </c>
      <c r="L74" s="2" t="n">
        <v>0.7</v>
      </c>
      <c r="M74" s="2" t="inlineStr">
        <is>
          <t>MediumRough</t>
        </is>
      </c>
      <c r="N74" s="22">
        <f>IF(G74&gt;0,F74/G74,0)</f>
        <v/>
      </c>
    </row>
    <row r="75">
      <c r="A75" s="2" t="inlineStr">
        <is>
          <t>B09</t>
        </is>
      </c>
      <c r="B75" s="2" t="inlineStr">
        <is>
          <t>WL_POLIMI-LC_IW04</t>
        </is>
      </c>
      <c r="C75" s="2" t="n">
        <v>2</v>
      </c>
      <c r="D75" s="2" t="inlineStr">
        <is>
          <t>dtu_MT_POLIMI_Gypsum Board-0.025</t>
        </is>
      </c>
      <c r="E75" s="2" t="inlineStr">
        <is>
          <t>dtu_MT_POLIMI_Gypsum Board</t>
        </is>
      </c>
      <c r="F75" s="2" t="n">
        <v>0.025</v>
      </c>
      <c r="G75" s="2" t="n">
        <v>0.21</v>
      </c>
      <c r="H75" s="2" t="n">
        <v>900</v>
      </c>
      <c r="I75" s="2" t="n">
        <v>1000</v>
      </c>
      <c r="J75" s="2" t="n">
        <v>0.9</v>
      </c>
      <c r="K75" s="2" t="n">
        <v>0.7</v>
      </c>
      <c r="L75" s="2" t="n">
        <v>0.7</v>
      </c>
      <c r="M75" s="2" t="inlineStr">
        <is>
          <t>MediumRough</t>
        </is>
      </c>
      <c r="N75" s="22">
        <f>IF(G75&gt;0,F75/G75,0)</f>
        <v/>
      </c>
    </row>
    <row r="76">
      <c r="A76" s="2" t="inlineStr">
        <is>
          <t>B09</t>
        </is>
      </c>
      <c r="B76" s="2" t="inlineStr">
        <is>
          <t>WL_POLIMI-LC_IW04</t>
        </is>
      </c>
      <c r="C76" s="2" t="n">
        <v>3</v>
      </c>
      <c r="D76" s="2" t="inlineStr">
        <is>
          <t>dtu_MT_POLIMI_Isolante morbido-0.04</t>
        </is>
      </c>
      <c r="E76" s="2" t="inlineStr">
        <is>
          <t>dtu_MT_POLIMI_Isolante morbido</t>
        </is>
      </c>
      <c r="F76" s="2" t="n">
        <v>0.04</v>
      </c>
      <c r="G76" s="2" t="n">
        <v>0.04</v>
      </c>
      <c r="H76" s="2" t="n">
        <v>80</v>
      </c>
      <c r="I76" s="2" t="n">
        <v>1028</v>
      </c>
      <c r="J76" s="2" t="n">
        <v>0.95</v>
      </c>
      <c r="K76" s="2" t="n">
        <v>0.7</v>
      </c>
      <c r="L76" s="2" t="n">
        <v>0.7</v>
      </c>
      <c r="M76" s="2" t="inlineStr">
        <is>
          <t>MediumRough</t>
        </is>
      </c>
      <c r="N76" s="22">
        <f>IF(G76&gt;0,F76/G76,0)</f>
        <v/>
      </c>
    </row>
    <row r="77">
      <c r="A77" s="2" t="inlineStr">
        <is>
          <t>B09</t>
        </is>
      </c>
      <c r="B77" s="2" t="inlineStr">
        <is>
          <t>WL_POLIMI-LC_IW04</t>
        </is>
      </c>
      <c r="C77" s="2" t="n">
        <v>4</v>
      </c>
      <c r="D77" s="2" t="inlineStr">
        <is>
          <t>dtu_MT_POLIMI_Camera d'aria non ventilata-0.065</t>
        </is>
      </c>
      <c r="E77" s="2" t="inlineStr">
        <is>
          <t>dtu_MT_POLIMI_Camera d'aria non ventilata</t>
        </is>
      </c>
      <c r="F77" s="2" t="n">
        <v>0.065</v>
      </c>
      <c r="G77" s="2" t="n">
        <v>1</v>
      </c>
      <c r="H77" s="2" t="n">
        <v>1</v>
      </c>
      <c r="I77" s="2" t="n">
        <v>1003</v>
      </c>
      <c r="J77" s="2" t="n">
        <v>0.7</v>
      </c>
      <c r="K77" s="2" t="n">
        <v>0.7</v>
      </c>
      <c r="L77" s="2" t="n">
        <v>0.7</v>
      </c>
      <c r="M77" s="2" t="inlineStr">
        <is>
          <t>MediumRough</t>
        </is>
      </c>
      <c r="N77" s="22">
        <f>IF(G77&gt;0,F77/G77,0)</f>
        <v/>
      </c>
    </row>
    <row r="78">
      <c r="A78" s="2" t="inlineStr">
        <is>
          <t>B09</t>
        </is>
      </c>
      <c r="B78" s="2" t="inlineStr">
        <is>
          <t>WL_POLIMI-LC_IW04</t>
        </is>
      </c>
      <c r="C78" s="2" t="n">
        <v>5</v>
      </c>
      <c r="D78" s="2" t="inlineStr">
        <is>
          <t>dtu_MT_POLIMI_Isolante morbido-0.04</t>
        </is>
      </c>
      <c r="E78" s="2" t="inlineStr">
        <is>
          <t>dtu_MT_POLIMI_Isolante morbido</t>
        </is>
      </c>
      <c r="F78" s="2" t="n">
        <v>0.04</v>
      </c>
      <c r="G78" s="2" t="n">
        <v>0.04</v>
      </c>
      <c r="H78" s="2" t="n">
        <v>80</v>
      </c>
      <c r="I78" s="2" t="n">
        <v>1028</v>
      </c>
      <c r="J78" s="2" t="n">
        <v>0.95</v>
      </c>
      <c r="K78" s="2" t="n">
        <v>0.7</v>
      </c>
      <c r="L78" s="2" t="n">
        <v>0.7</v>
      </c>
      <c r="M78" s="2" t="inlineStr">
        <is>
          <t>MediumRough</t>
        </is>
      </c>
      <c r="N78" s="22">
        <f>IF(G78&gt;0,F78/G78,0)</f>
        <v/>
      </c>
    </row>
    <row r="79">
      <c r="A79" s="2" t="inlineStr">
        <is>
          <t>B09</t>
        </is>
      </c>
      <c r="B79" s="2" t="inlineStr">
        <is>
          <t>WL_POLIMI-LC_IW04</t>
        </is>
      </c>
      <c r="C79" s="2" t="n">
        <v>6</v>
      </c>
      <c r="D79" s="2" t="inlineStr">
        <is>
          <t>dtu_MT_POLIMI_Gypsum Board-0.025</t>
        </is>
      </c>
      <c r="E79" s="2" t="inlineStr">
        <is>
          <t>dtu_MT_POLIMI_Gypsum Board</t>
        </is>
      </c>
      <c r="F79" s="2" t="n">
        <v>0.025</v>
      </c>
      <c r="G79" s="2" t="n">
        <v>0.21</v>
      </c>
      <c r="H79" s="2" t="n">
        <v>900</v>
      </c>
      <c r="I79" s="2" t="n">
        <v>1000</v>
      </c>
      <c r="J79" s="2" t="n">
        <v>0.9</v>
      </c>
      <c r="K79" s="2" t="n">
        <v>0.7</v>
      </c>
      <c r="L79" s="2" t="n">
        <v>0.7</v>
      </c>
      <c r="M79" s="2" t="inlineStr">
        <is>
          <t>MediumRough</t>
        </is>
      </c>
      <c r="N79" s="22">
        <f>IF(G79&gt;0,F79/G79,0)</f>
        <v/>
      </c>
    </row>
    <row r="80">
      <c r="A80" s="2" t="inlineStr">
        <is>
          <t>B09</t>
        </is>
      </c>
      <c r="B80" s="2" t="inlineStr">
        <is>
          <t>WL_POLIMI-LC_IW04</t>
        </is>
      </c>
      <c r="C80" s="2" t="n">
        <v>7</v>
      </c>
      <c r="D80" s="2" t="inlineStr">
        <is>
          <t>dtu_MT_POLIMI_Intonaco gesso puro-0.01</t>
        </is>
      </c>
      <c r="E80" s="2" t="inlineStr">
        <is>
          <t>dtu_MT_POLIMI_Intonaco gesso puro</t>
        </is>
      </c>
      <c r="F80" s="2" t="n">
        <v>0.01</v>
      </c>
      <c r="G80" s="2" t="n">
        <v>0.35</v>
      </c>
      <c r="H80" s="2" t="n">
        <v>1200</v>
      </c>
      <c r="I80" s="2" t="n">
        <v>999</v>
      </c>
      <c r="J80" s="2" t="n">
        <v>0.9</v>
      </c>
      <c r="K80" s="2" t="n">
        <v>0.7</v>
      </c>
      <c r="L80" s="2" t="n">
        <v>0.7</v>
      </c>
      <c r="M80" s="2" t="inlineStr">
        <is>
          <t>MediumRough</t>
        </is>
      </c>
      <c r="N80" s="22">
        <f>IF(G80&gt;0,F80/G80,0)</f>
        <v/>
      </c>
    </row>
    <row r="81">
      <c r="A81" s="2" t="inlineStr">
        <is>
          <t>B09</t>
        </is>
      </c>
      <c r="B81" s="2" t="inlineStr">
        <is>
          <t>WL_POLIMI-LC_IW04</t>
        </is>
      </c>
      <c r="C81" s="2" t="n">
        <v>8</v>
      </c>
      <c r="D81" s="2" t="inlineStr">
        <is>
          <t>dtu_MT_POLIMI_Piastrelle-0.015</t>
        </is>
      </c>
      <c r="E81" s="2" t="inlineStr">
        <is>
          <t>dtu_MT_POLIMI_Piastrelle</t>
        </is>
      </c>
      <c r="F81" s="2" t="n">
        <v>0.015</v>
      </c>
      <c r="G81" s="2" t="n">
        <v>1.3</v>
      </c>
      <c r="H81" s="2" t="n">
        <v>2300</v>
      </c>
      <c r="I81" s="2" t="n">
        <v>839</v>
      </c>
      <c r="J81" s="2" t="n">
        <v>0.9</v>
      </c>
      <c r="K81" s="2" t="n">
        <v>0.7</v>
      </c>
      <c r="L81" s="2" t="n">
        <v>0.7</v>
      </c>
      <c r="M81" s="2" t="inlineStr">
        <is>
          <t>MediumRough</t>
        </is>
      </c>
      <c r="N81" s="22">
        <f>IF(G81&gt;0,F81/G81,0)</f>
        <v/>
      </c>
    </row>
    <row r="82">
      <c r="A82" s="2" t="inlineStr">
        <is>
          <t>B09</t>
        </is>
      </c>
      <c r="B82" s="2" t="inlineStr">
        <is>
          <t>WL_POLIMI-LC_IW05_Toilet</t>
        </is>
      </c>
      <c r="C82" s="2" t="n">
        <v>1</v>
      </c>
      <c r="D82" s="2" t="inlineStr">
        <is>
          <t>dtu_MT_POLIMI_Piastrelle-0.015</t>
        </is>
      </c>
      <c r="E82" s="2" t="inlineStr">
        <is>
          <t>dtu_MT_POLIMI_Piastrelle</t>
        </is>
      </c>
      <c r="F82" s="2" t="n">
        <v>0.015</v>
      </c>
      <c r="G82" s="2" t="n">
        <v>1.3</v>
      </c>
      <c r="H82" s="2" t="n">
        <v>2300</v>
      </c>
      <c r="I82" s="2" t="n">
        <v>839</v>
      </c>
      <c r="J82" s="2" t="n">
        <v>0.9</v>
      </c>
      <c r="K82" s="2" t="n">
        <v>0.7</v>
      </c>
      <c r="L82" s="2" t="n">
        <v>0.7</v>
      </c>
      <c r="M82" s="2" t="inlineStr">
        <is>
          <t>MediumRough</t>
        </is>
      </c>
      <c r="N82" s="22">
        <f>IF(G82&gt;0,F82/G82,0)</f>
        <v/>
      </c>
    </row>
    <row r="83">
      <c r="A83" s="2" t="inlineStr">
        <is>
          <t>B09</t>
        </is>
      </c>
      <c r="B83" s="2" t="inlineStr">
        <is>
          <t>WL_POLIMI-LC_IW05_Toilet</t>
        </is>
      </c>
      <c r="C83" s="2" t="n">
        <v>2</v>
      </c>
      <c r="D83" s="2" t="inlineStr">
        <is>
          <t>dtu_MT__POLIMI_Intonaco interno-0.01</t>
        </is>
      </c>
      <c r="E83" s="2" t="inlineStr">
        <is>
          <t>dtu_MT__POLIMI_Intonaco interno</t>
        </is>
      </c>
      <c r="F83" s="2" t="n">
        <v>0.01</v>
      </c>
      <c r="G83" s="2" t="n">
        <v>0.35</v>
      </c>
      <c r="H83" s="2" t="n">
        <v>1200</v>
      </c>
      <c r="I83" s="2" t="n">
        <v>999</v>
      </c>
      <c r="J83" s="2" t="n">
        <v>0.9</v>
      </c>
      <c r="K83" s="2" t="n">
        <v>0.7</v>
      </c>
      <c r="L83" s="2" t="n">
        <v>0.7</v>
      </c>
      <c r="M83" s="2" t="inlineStr">
        <is>
          <t>MediumRough</t>
        </is>
      </c>
      <c r="N83" s="22">
        <f>IF(G83&gt;0,F83/G83,0)</f>
        <v/>
      </c>
    </row>
    <row r="84">
      <c r="A84" s="2" t="inlineStr">
        <is>
          <t>B09</t>
        </is>
      </c>
      <c r="B84" s="2" t="inlineStr">
        <is>
          <t>WL_POLIMI-LC_IW05_Toilet</t>
        </is>
      </c>
      <c r="C84" s="2" t="n">
        <v>3</v>
      </c>
      <c r="D84" s="2" t="inlineStr">
        <is>
          <t>dtu_MT_POLIMI_Gypsum Board-0.025</t>
        </is>
      </c>
      <c r="E84" s="2" t="inlineStr">
        <is>
          <t>dtu_MT_POLIMI_Gypsum Board</t>
        </is>
      </c>
      <c r="F84" s="2" t="n">
        <v>0.025</v>
      </c>
      <c r="G84" s="2" t="n">
        <v>0.21</v>
      </c>
      <c r="H84" s="2" t="n">
        <v>900</v>
      </c>
      <c r="I84" s="2" t="n">
        <v>1000</v>
      </c>
      <c r="J84" s="2" t="n">
        <v>0.9</v>
      </c>
      <c r="K84" s="2" t="n">
        <v>0.7</v>
      </c>
      <c r="L84" s="2" t="n">
        <v>0.7</v>
      </c>
      <c r="M84" s="2" t="inlineStr">
        <is>
          <t>MediumRough</t>
        </is>
      </c>
      <c r="N84" s="22">
        <f>IF(G84&gt;0,F84/G84,0)</f>
        <v/>
      </c>
    </row>
    <row r="85">
      <c r="A85" s="2" t="inlineStr">
        <is>
          <t>B09</t>
        </is>
      </c>
      <c r="B85" s="2" t="inlineStr">
        <is>
          <t>WL_POLIMI-LC_IW05_Toilet</t>
        </is>
      </c>
      <c r="C85" s="2" t="n">
        <v>4</v>
      </c>
      <c r="D85" s="2" t="inlineStr">
        <is>
          <t>dtu_MT_POLIMI_Isolante morbido-0.04</t>
        </is>
      </c>
      <c r="E85" s="2" t="inlineStr">
        <is>
          <t>dtu_MT_POLIMI_Isolante morbido</t>
        </is>
      </c>
      <c r="F85" s="2" t="n">
        <v>0.04</v>
      </c>
      <c r="G85" s="2" t="n">
        <v>0.04</v>
      </c>
      <c r="H85" s="2" t="n">
        <v>80</v>
      </c>
      <c r="I85" s="2" t="n">
        <v>1028</v>
      </c>
      <c r="J85" s="2" t="n">
        <v>0.95</v>
      </c>
      <c r="K85" s="2" t="n">
        <v>0.7</v>
      </c>
      <c r="L85" s="2" t="n">
        <v>0.7</v>
      </c>
      <c r="M85" s="2" t="inlineStr">
        <is>
          <t>MediumRough</t>
        </is>
      </c>
      <c r="N85" s="22">
        <f>IF(G85&gt;0,F85/G85,0)</f>
        <v/>
      </c>
    </row>
    <row r="86">
      <c r="A86" s="2" t="inlineStr">
        <is>
          <t>B09</t>
        </is>
      </c>
      <c r="B86" s="2" t="inlineStr">
        <is>
          <t>WL_POLIMI-LC_IW05_Toilet</t>
        </is>
      </c>
      <c r="C86" s="2" t="n">
        <v>5</v>
      </c>
      <c r="D86" s="2" t="inlineStr">
        <is>
          <t>dtu_MT_POLIMI_Camera d'aria non ventilata-0.065</t>
        </is>
      </c>
      <c r="E86" s="2" t="inlineStr">
        <is>
          <t>dtu_MT_POLIMI_Camera d'aria non ventilata</t>
        </is>
      </c>
      <c r="F86" s="2" t="n">
        <v>0.065</v>
      </c>
      <c r="G86" s="2" t="n">
        <v>1</v>
      </c>
      <c r="H86" s="2" t="n">
        <v>1</v>
      </c>
      <c r="I86" s="2" t="n">
        <v>1003</v>
      </c>
      <c r="J86" s="2" t="n">
        <v>0.7</v>
      </c>
      <c r="K86" s="2" t="n">
        <v>0.7</v>
      </c>
      <c r="L86" s="2" t="n">
        <v>0.7</v>
      </c>
      <c r="M86" s="2" t="inlineStr">
        <is>
          <t>MediumRough</t>
        </is>
      </c>
      <c r="N86" s="22">
        <f>IF(G86&gt;0,F86/G86,0)</f>
        <v/>
      </c>
    </row>
    <row r="87">
      <c r="A87" s="2" t="inlineStr">
        <is>
          <t>B09</t>
        </is>
      </c>
      <c r="B87" s="2" t="inlineStr">
        <is>
          <t>WL_POLIMI-LC_IW05_Toilet</t>
        </is>
      </c>
      <c r="C87" s="2" t="n">
        <v>6</v>
      </c>
      <c r="D87" s="2" t="inlineStr">
        <is>
          <t>dtu_MT_POLIMI_Isolante morbido-0.04</t>
        </is>
      </c>
      <c r="E87" s="2" t="inlineStr">
        <is>
          <t>dtu_MT_POLIMI_Isolante morbido</t>
        </is>
      </c>
      <c r="F87" s="2" t="n">
        <v>0.04</v>
      </c>
      <c r="G87" s="2" t="n">
        <v>0.04</v>
      </c>
      <c r="H87" s="2" t="n">
        <v>80</v>
      </c>
      <c r="I87" s="2" t="n">
        <v>1028</v>
      </c>
      <c r="J87" s="2" t="n">
        <v>0.95</v>
      </c>
      <c r="K87" s="2" t="n">
        <v>0.7</v>
      </c>
      <c r="L87" s="2" t="n">
        <v>0.7</v>
      </c>
      <c r="M87" s="2" t="inlineStr">
        <is>
          <t>MediumRough</t>
        </is>
      </c>
      <c r="N87" s="22">
        <f>IF(G87&gt;0,F87/G87,0)</f>
        <v/>
      </c>
    </row>
    <row r="88">
      <c r="A88" s="2" t="inlineStr">
        <is>
          <t>B09</t>
        </is>
      </c>
      <c r="B88" s="2" t="inlineStr">
        <is>
          <t>WL_POLIMI-LC_IW05_Toilet</t>
        </is>
      </c>
      <c r="C88" s="2" t="n">
        <v>7</v>
      </c>
      <c r="D88" s="2" t="inlineStr">
        <is>
          <t>dtu_MT_POLIMI_Gypsum Board-0.025</t>
        </is>
      </c>
      <c r="E88" s="2" t="inlineStr">
        <is>
          <t>dtu_MT_POLIMI_Gypsum Board</t>
        </is>
      </c>
      <c r="F88" s="2" t="n">
        <v>0.025</v>
      </c>
      <c r="G88" s="2" t="n">
        <v>0.21</v>
      </c>
      <c r="H88" s="2" t="n">
        <v>900</v>
      </c>
      <c r="I88" s="2" t="n">
        <v>1000</v>
      </c>
      <c r="J88" s="2" t="n">
        <v>0.9</v>
      </c>
      <c r="K88" s="2" t="n">
        <v>0.7</v>
      </c>
      <c r="L88" s="2" t="n">
        <v>0.7</v>
      </c>
      <c r="M88" s="2" t="inlineStr">
        <is>
          <t>MediumRough</t>
        </is>
      </c>
      <c r="N88" s="22">
        <f>IF(G88&gt;0,F88/G88,0)</f>
        <v/>
      </c>
    </row>
    <row r="89">
      <c r="A89" s="2" t="inlineStr">
        <is>
          <t>B09</t>
        </is>
      </c>
      <c r="B89" s="2" t="inlineStr">
        <is>
          <t>WL_POLIMI-LC_IW05_Toilet</t>
        </is>
      </c>
      <c r="C89" s="2" t="n">
        <v>8</v>
      </c>
      <c r="D89" s="2" t="inlineStr">
        <is>
          <t>dtu_MT_POLIMI_Intonaco gesso puro-0.01</t>
        </is>
      </c>
      <c r="E89" s="2" t="inlineStr">
        <is>
          <t>dtu_MT_POLIMI_Intonaco gesso puro</t>
        </is>
      </c>
      <c r="F89" s="2" t="n">
        <v>0.01</v>
      </c>
      <c r="G89" s="2" t="n">
        <v>0.35</v>
      </c>
      <c r="H89" s="2" t="n">
        <v>1200</v>
      </c>
      <c r="I89" s="2" t="n">
        <v>999</v>
      </c>
      <c r="J89" s="2" t="n">
        <v>0.9</v>
      </c>
      <c r="K89" s="2" t="n">
        <v>0.7</v>
      </c>
      <c r="L89" s="2" t="n">
        <v>0.7</v>
      </c>
      <c r="M89" s="2" t="inlineStr">
        <is>
          <t>MediumRough</t>
        </is>
      </c>
      <c r="N89" s="22">
        <f>IF(G89&gt;0,F89/G89,0)</f>
        <v/>
      </c>
    </row>
    <row r="90">
      <c r="A90" s="2" t="inlineStr">
        <is>
          <t>B09</t>
        </is>
      </c>
      <c r="B90" s="2" t="inlineStr">
        <is>
          <t>WL_POLIMI-LC_IW05_Toilet</t>
        </is>
      </c>
      <c r="C90" s="2" t="n">
        <v>9</v>
      </c>
      <c r="D90" s="2" t="inlineStr">
        <is>
          <t>dtu_MT_POLIMI_Piastrelle-0.015</t>
        </is>
      </c>
      <c r="E90" s="2" t="inlineStr">
        <is>
          <t>dtu_MT_POLIMI_Piastrelle</t>
        </is>
      </c>
      <c r="F90" s="2" t="n">
        <v>0.015</v>
      </c>
      <c r="G90" s="2" t="n">
        <v>1.3</v>
      </c>
      <c r="H90" s="2" t="n">
        <v>2300</v>
      </c>
      <c r="I90" s="2" t="n">
        <v>839</v>
      </c>
      <c r="J90" s="2" t="n">
        <v>0.9</v>
      </c>
      <c r="K90" s="2" t="n">
        <v>0.7</v>
      </c>
      <c r="L90" s="2" t="n">
        <v>0.7</v>
      </c>
      <c r="M90" s="2" t="inlineStr">
        <is>
          <t>MediumRough</t>
        </is>
      </c>
      <c r="N90" s="22">
        <f>IF(G90&gt;0,F90/G90,0)</f>
        <v/>
      </c>
    </row>
    <row r="91">
      <c r="A91" s="2" t="inlineStr">
        <is>
          <t>B09</t>
        </is>
      </c>
      <c r="B91" s="2" t="inlineStr">
        <is>
          <t>WL_POLIMI-LC_IW06_Toilet</t>
        </is>
      </c>
      <c r="C91" s="2" t="n">
        <v>1</v>
      </c>
      <c r="D91" s="2" t="inlineStr">
        <is>
          <t>dtu_MT_POLIMI_Camera d'aria non ventilata-0.065</t>
        </is>
      </c>
      <c r="E91" s="2" t="inlineStr">
        <is>
          <t>dtu_MT_POLIMI_Camera d'aria non ventilata</t>
        </is>
      </c>
      <c r="F91" s="2" t="n">
        <v>0.065</v>
      </c>
      <c r="G91" s="2" t="n">
        <v>1</v>
      </c>
      <c r="H91" s="2" t="n">
        <v>1</v>
      </c>
      <c r="I91" s="2" t="n">
        <v>1003</v>
      </c>
      <c r="J91" s="2" t="n">
        <v>0.7</v>
      </c>
      <c r="K91" s="2" t="n">
        <v>0.7</v>
      </c>
      <c r="L91" s="2" t="n">
        <v>0.7</v>
      </c>
      <c r="M91" s="2" t="inlineStr">
        <is>
          <t>MediumRough</t>
        </is>
      </c>
      <c r="N91" s="22">
        <f>IF(G91&gt;0,F91/G91,0)</f>
        <v/>
      </c>
    </row>
    <row r="92">
      <c r="A92" s="2" t="inlineStr">
        <is>
          <t>B09</t>
        </is>
      </c>
      <c r="B92" s="2" t="inlineStr">
        <is>
          <t>WL_POLIMI-LC_IW06_Toilet</t>
        </is>
      </c>
      <c r="C92" s="2" t="n">
        <v>2</v>
      </c>
      <c r="D92" s="2" t="inlineStr">
        <is>
          <t>dtu_MT_POLIMI_Isolante morbido-0.04</t>
        </is>
      </c>
      <c r="E92" s="2" t="inlineStr">
        <is>
          <t>dtu_MT_POLIMI_Isolante morbido</t>
        </is>
      </c>
      <c r="F92" s="2" t="n">
        <v>0.04</v>
      </c>
      <c r="G92" s="2" t="n">
        <v>0.04</v>
      </c>
      <c r="H92" s="2" t="n">
        <v>80</v>
      </c>
      <c r="I92" s="2" t="n">
        <v>1028</v>
      </c>
      <c r="J92" s="2" t="n">
        <v>0.95</v>
      </c>
      <c r="K92" s="2" t="n">
        <v>0.7</v>
      </c>
      <c r="L92" s="2" t="n">
        <v>0.7</v>
      </c>
      <c r="M92" s="2" t="inlineStr">
        <is>
          <t>MediumRough</t>
        </is>
      </c>
      <c r="N92" s="22">
        <f>IF(G92&gt;0,F92/G92,0)</f>
        <v/>
      </c>
    </row>
    <row r="93">
      <c r="A93" s="2" t="inlineStr">
        <is>
          <t>B09</t>
        </is>
      </c>
      <c r="B93" s="2" t="inlineStr">
        <is>
          <t>WL_POLIMI-LC_IW06_Toilet</t>
        </is>
      </c>
      <c r="C93" s="2" t="n">
        <v>3</v>
      </c>
      <c r="D93" s="2" t="inlineStr">
        <is>
          <t>dtu_MT_POLIMI_Gypsum Board-0.025</t>
        </is>
      </c>
      <c r="E93" s="2" t="inlineStr">
        <is>
          <t>dtu_MT_POLIMI_Gypsum Board</t>
        </is>
      </c>
      <c r="F93" s="2" t="n">
        <v>0.025</v>
      </c>
      <c r="G93" s="2" t="n">
        <v>0.21</v>
      </c>
      <c r="H93" s="2" t="n">
        <v>900</v>
      </c>
      <c r="I93" s="2" t="n">
        <v>1000</v>
      </c>
      <c r="J93" s="2" t="n">
        <v>0.9</v>
      </c>
      <c r="K93" s="2" t="n">
        <v>0.7</v>
      </c>
      <c r="L93" s="2" t="n">
        <v>0.7</v>
      </c>
      <c r="M93" s="2" t="inlineStr">
        <is>
          <t>MediumRough</t>
        </is>
      </c>
      <c r="N93" s="22">
        <f>IF(G93&gt;0,F93/G93,0)</f>
        <v/>
      </c>
    </row>
    <row r="94">
      <c r="A94" s="2" t="inlineStr">
        <is>
          <t>B09</t>
        </is>
      </c>
      <c r="B94" s="2" t="inlineStr">
        <is>
          <t>WL_POLIMI-LC_IW06_Toilet</t>
        </is>
      </c>
      <c r="C94" s="2" t="n">
        <v>4</v>
      </c>
      <c r="D94" s="2" t="inlineStr">
        <is>
          <t>dtu_MT_POLIMI_Intonaco gesso puro-0.01</t>
        </is>
      </c>
      <c r="E94" s="2" t="inlineStr">
        <is>
          <t>dtu_MT_POLIMI_Intonaco gesso puro</t>
        </is>
      </c>
      <c r="F94" s="2" t="n">
        <v>0.01</v>
      </c>
      <c r="G94" s="2" t="n">
        <v>0.35</v>
      </c>
      <c r="H94" s="2" t="n">
        <v>1200</v>
      </c>
      <c r="I94" s="2" t="n">
        <v>999</v>
      </c>
      <c r="J94" s="2" t="n">
        <v>0.9</v>
      </c>
      <c r="K94" s="2" t="n">
        <v>0.7</v>
      </c>
      <c r="L94" s="2" t="n">
        <v>0.7</v>
      </c>
      <c r="M94" s="2" t="inlineStr">
        <is>
          <t>MediumRough</t>
        </is>
      </c>
      <c r="N94" s="22">
        <f>IF(G94&gt;0,F94/G94,0)</f>
        <v/>
      </c>
    </row>
    <row r="95">
      <c r="A95" s="2" t="inlineStr">
        <is>
          <t>B09</t>
        </is>
      </c>
      <c r="B95" s="2" t="inlineStr">
        <is>
          <t>WL_POLIMI-LC_IW06_Toilet</t>
        </is>
      </c>
      <c r="C95" s="2" t="n">
        <v>5</v>
      </c>
      <c r="D95" s="2" t="inlineStr">
        <is>
          <t>dtu_MT_POLIMI_Piastrelle-0.015</t>
        </is>
      </c>
      <c r="E95" s="2" t="inlineStr">
        <is>
          <t>dtu_MT_POLIMI_Piastrelle</t>
        </is>
      </c>
      <c r="F95" s="2" t="n">
        <v>0.015</v>
      </c>
      <c r="G95" s="2" t="n">
        <v>1.3</v>
      </c>
      <c r="H95" s="2" t="n">
        <v>2300</v>
      </c>
      <c r="I95" s="2" t="n">
        <v>839</v>
      </c>
      <c r="J95" s="2" t="n">
        <v>0.9</v>
      </c>
      <c r="K95" s="2" t="n">
        <v>0.7</v>
      </c>
      <c r="L95" s="2" t="n">
        <v>0.7</v>
      </c>
      <c r="M95" s="2" t="inlineStr">
        <is>
          <t>MediumRough</t>
        </is>
      </c>
      <c r="N95" s="22">
        <f>IF(G95&gt;0,F95/G95,0)</f>
        <v/>
      </c>
    </row>
    <row r="96">
      <c r="A96" s="2" t="inlineStr">
        <is>
          <t>B09</t>
        </is>
      </c>
      <c r="B96" s="2" t="inlineStr">
        <is>
          <t>FL_POLIMI-LC_GroundFloor</t>
        </is>
      </c>
      <c r="C96" s="2" t="n">
        <v>1</v>
      </c>
      <c r="D96" s="2" t="inlineStr">
        <is>
          <t>dtu_MT_POLIMI_Pavimento industriale-0.06</t>
        </is>
      </c>
      <c r="E96" s="2" t="inlineStr">
        <is>
          <t>dtu_MT_POLIMI_Pavimento industriale</t>
        </is>
      </c>
      <c r="F96" s="2" t="n">
        <v>0.06</v>
      </c>
      <c r="G96" s="2" t="n">
        <v>1.046</v>
      </c>
      <c r="H96" s="2" t="n">
        <v>2300</v>
      </c>
      <c r="I96" s="2" t="n">
        <v>657</v>
      </c>
      <c r="J96" s="2" t="n">
        <v>0.95</v>
      </c>
      <c r="K96" s="2" t="n">
        <v>0.7</v>
      </c>
      <c r="L96" s="2" t="n">
        <v>0.7</v>
      </c>
      <c r="M96" s="2" t="inlineStr">
        <is>
          <t>MediumRough</t>
        </is>
      </c>
      <c r="N96" s="22">
        <f>IF(G96&gt;0,F96/G96,0)</f>
        <v/>
      </c>
    </row>
    <row r="97">
      <c r="A97" s="2" t="inlineStr">
        <is>
          <t>B09</t>
        </is>
      </c>
      <c r="B97" s="2" t="inlineStr">
        <is>
          <t>FL_POLIMI-LC_GroundFloor</t>
        </is>
      </c>
      <c r="C97" s="2" t="n">
        <v>2</v>
      </c>
      <c r="D97" s="2" t="inlineStr">
        <is>
          <t>dtu_MT_POLIMI_Massetto-0.08</t>
        </is>
      </c>
      <c r="E97" s="2" t="inlineStr">
        <is>
          <t>dtu_MT_POLIMI_Massetto</t>
        </is>
      </c>
      <c r="F97" s="2" t="n">
        <v>0.08</v>
      </c>
      <c r="G97" s="2" t="n">
        <v>1.2</v>
      </c>
      <c r="H97" s="2" t="n">
        <v>1700</v>
      </c>
      <c r="I97" s="2" t="n">
        <v>1000</v>
      </c>
      <c r="J97" s="2" t="n">
        <v>0.95</v>
      </c>
      <c r="K97" s="2" t="n">
        <v>0.7</v>
      </c>
      <c r="L97" s="2" t="n">
        <v>0.7</v>
      </c>
      <c r="M97" s="2" t="inlineStr">
        <is>
          <t>MediumRough</t>
        </is>
      </c>
      <c r="N97" s="22">
        <f>IF(G97&gt;0,F97/G97,0)</f>
        <v/>
      </c>
    </row>
    <row r="98">
      <c r="A98" s="2" t="inlineStr">
        <is>
          <t>B09</t>
        </is>
      </c>
      <c r="B98" s="2" t="inlineStr">
        <is>
          <t>FL_POLIMI-LC_GroundFloor</t>
        </is>
      </c>
      <c r="C98" s="2" t="n">
        <v>3</v>
      </c>
      <c r="D98" s="2" t="inlineStr">
        <is>
          <t>dtu_MT_POLIMI_Isolante rigido-0.06</t>
        </is>
      </c>
      <c r="E98" s="2" t="inlineStr">
        <is>
          <t>dtu_MT_POLIMI_Isolante rigido</t>
        </is>
      </c>
      <c r="F98" s="2" t="n">
        <v>0.06</v>
      </c>
      <c r="G98" s="2" t="n">
        <v>0.04</v>
      </c>
      <c r="H98" s="2" t="n">
        <v>30</v>
      </c>
      <c r="I98" s="2" t="n">
        <v>1452</v>
      </c>
      <c r="J98" s="2" t="n">
        <v>0.95</v>
      </c>
      <c r="K98" s="2" t="n">
        <v>0.7</v>
      </c>
      <c r="L98" s="2" t="n">
        <v>0.7</v>
      </c>
      <c r="M98" s="2" t="inlineStr">
        <is>
          <t>MediumRough</t>
        </is>
      </c>
      <c r="N98" s="22">
        <f>IF(G98&gt;0,F98/G98,0)</f>
        <v/>
      </c>
    </row>
    <row r="99">
      <c r="A99" s="2" t="inlineStr">
        <is>
          <t>B09</t>
        </is>
      </c>
      <c r="B99" s="2" t="inlineStr">
        <is>
          <t>FL_POLIMI-LC_GroundFloor</t>
        </is>
      </c>
      <c r="C99" s="2" t="n">
        <v>4</v>
      </c>
      <c r="D99" s="2" t="inlineStr">
        <is>
          <t>dtu_MT_POLIMI_CLS-0.05</t>
        </is>
      </c>
      <c r="E99" s="2" t="inlineStr">
        <is>
          <t>dtu_MT_POLIMI_CLS</t>
        </is>
      </c>
      <c r="F99" s="2" t="n">
        <v>0.05</v>
      </c>
      <c r="G99" s="2" t="n">
        <v>1.046</v>
      </c>
      <c r="H99" s="2" t="n">
        <v>2300</v>
      </c>
      <c r="I99" s="2" t="n">
        <v>657</v>
      </c>
      <c r="J99" s="2" t="n">
        <v>0.95</v>
      </c>
      <c r="K99" s="2" t="n">
        <v>0.7</v>
      </c>
      <c r="L99" s="2" t="n">
        <v>0.7</v>
      </c>
      <c r="M99" s="2" t="inlineStr">
        <is>
          <t>MediumRough</t>
        </is>
      </c>
      <c r="N99" s="22">
        <f>IF(G99&gt;0,F99/G99,0)</f>
        <v/>
      </c>
    </row>
    <row r="100">
      <c r="A100" s="2" t="inlineStr">
        <is>
          <t>B09</t>
        </is>
      </c>
      <c r="B100" s="2" t="inlineStr">
        <is>
          <t>FL_POLIMI-LC_GroundFloor</t>
        </is>
      </c>
      <c r="C100" s="2" t="n">
        <v>5</v>
      </c>
      <c r="D100" s="2" t="inlineStr">
        <is>
          <t>dtu_MT_POLIMI_Camera d'aria fortemente ventilata-0.35</t>
        </is>
      </c>
      <c r="E100" s="2" t="inlineStr">
        <is>
          <t>dtu_MT_POLIMI_Camera d'aria fortemente ventilata</t>
        </is>
      </c>
      <c r="F100" s="2" t="n">
        <v>0.35</v>
      </c>
      <c r="G100" s="2" t="n">
        <v>0.285</v>
      </c>
      <c r="H100" s="2" t="n">
        <v>1</v>
      </c>
      <c r="I100" s="2" t="n">
        <v>1004</v>
      </c>
      <c r="J100" s="2" t="n">
        <v>0.7</v>
      </c>
      <c r="K100" s="2" t="n">
        <v>0.7</v>
      </c>
      <c r="L100" s="2" t="n">
        <v>0.7</v>
      </c>
      <c r="M100" s="2" t="inlineStr">
        <is>
          <t>MediumRough</t>
        </is>
      </c>
      <c r="N100" s="22">
        <f>IF(G100&gt;0,F100/G100,0)</f>
        <v/>
      </c>
    </row>
    <row r="101">
      <c r="A101" s="2" t="inlineStr">
        <is>
          <t>B09</t>
        </is>
      </c>
      <c r="B101" s="2" t="inlineStr">
        <is>
          <t>FL_POLIMI-LC_GroundFloor</t>
        </is>
      </c>
      <c r="C101" s="2" t="n">
        <v>6</v>
      </c>
      <c r="D101" s="2" t="inlineStr">
        <is>
          <t>dtu_MT_POLIMI_Magrone-0.1</t>
        </is>
      </c>
      <c r="E101" s="2" t="inlineStr">
        <is>
          <t>dtu_MT_POLIMI_Magrone</t>
        </is>
      </c>
      <c r="F101" s="2" t="n">
        <v>0.1</v>
      </c>
      <c r="G101" s="2" t="n">
        <v>1.046</v>
      </c>
      <c r="H101" s="2" t="n">
        <v>2300</v>
      </c>
      <c r="I101" s="2" t="n">
        <v>657</v>
      </c>
      <c r="J101" s="2" t="n">
        <v>0.95</v>
      </c>
      <c r="K101" s="2" t="n">
        <v>0.7</v>
      </c>
      <c r="L101" s="2" t="n">
        <v>0.7</v>
      </c>
      <c r="M101" s="2" t="inlineStr">
        <is>
          <t>MediumRough</t>
        </is>
      </c>
      <c r="N101" s="22">
        <f>IF(G101&gt;0,F101/G101,0)</f>
        <v/>
      </c>
    </row>
    <row r="102">
      <c r="A102" s="2" t="inlineStr">
        <is>
          <t>B09</t>
        </is>
      </c>
      <c r="B102" s="2" t="inlineStr">
        <is>
          <t>FL_POLIMI-LC_GroundFloor</t>
        </is>
      </c>
      <c r="C102" s="2" t="n">
        <v>7</v>
      </c>
      <c r="D102" s="2" t="inlineStr">
        <is>
          <t>dtu_MT_Ghiaia-0.2</t>
        </is>
      </c>
      <c r="E102" s="2" t="inlineStr">
        <is>
          <t>dtu_MT_Ghiaia</t>
        </is>
      </c>
      <c r="F102" s="2" t="n">
        <v>0.2</v>
      </c>
      <c r="G102" s="2" t="n">
        <v>1.2</v>
      </c>
      <c r="H102" s="2" t="n">
        <v>1700</v>
      </c>
      <c r="I102" s="2" t="n">
        <v>1000</v>
      </c>
      <c r="J102" s="2" t="n">
        <v>0.95</v>
      </c>
      <c r="K102" s="2" t="n">
        <v>0.7</v>
      </c>
      <c r="L102" s="2" t="n">
        <v>0.7</v>
      </c>
      <c r="M102" s="2" t="inlineStr">
        <is>
          <t>MediumRough</t>
        </is>
      </c>
      <c r="N102" s="22">
        <f>IF(G102&gt;0,F102/G102,0)</f>
        <v/>
      </c>
    </row>
    <row r="103">
      <c r="A103" s="2" t="inlineStr">
        <is>
          <t>B09</t>
        </is>
      </c>
      <c r="B103" s="2" t="inlineStr">
        <is>
          <t>FL_POLIMI-LC_InternalFloor_IH-IH_Toilet</t>
        </is>
      </c>
      <c r="C103" s="2" t="n">
        <v>1</v>
      </c>
      <c r="D103" s="2" t="inlineStr">
        <is>
          <t>dtu_MT_POLIMI_Piastrelle-0.01</t>
        </is>
      </c>
      <c r="E103" s="2" t="inlineStr">
        <is>
          <t>dtu_MT_POLIMI_Piastrelle</t>
        </is>
      </c>
      <c r="F103" s="2" t="n">
        <v>0.01</v>
      </c>
      <c r="G103" s="2" t="n">
        <v>1.3</v>
      </c>
      <c r="H103" s="2" t="n">
        <v>2300</v>
      </c>
      <c r="I103" s="2" t="n">
        <v>839</v>
      </c>
      <c r="J103" s="2" t="n">
        <v>0.9</v>
      </c>
      <c r="K103" s="2" t="n">
        <v>0.7</v>
      </c>
      <c r="L103" s="2" t="n">
        <v>0.7</v>
      </c>
      <c r="M103" s="2" t="inlineStr">
        <is>
          <t>MediumRough</t>
        </is>
      </c>
      <c r="N103" s="22">
        <f>IF(G103&gt;0,F103/G103,0)</f>
        <v/>
      </c>
    </row>
    <row r="104">
      <c r="A104" s="2" t="inlineStr">
        <is>
          <t>B09</t>
        </is>
      </c>
      <c r="B104" s="2" t="inlineStr">
        <is>
          <t>FL_POLIMI-LC_InternalFloor_IH-IH_Toilet</t>
        </is>
      </c>
      <c r="C104" s="2" t="n">
        <v>2</v>
      </c>
      <c r="D104" s="2" t="inlineStr">
        <is>
          <t>dtu_MT_Massetto-0.15</t>
        </is>
      </c>
      <c r="E104" s="2" t="inlineStr">
        <is>
          <t>dtu_MT_Massetto</t>
        </is>
      </c>
      <c r="F104" s="2" t="n">
        <v>0.15</v>
      </c>
      <c r="G104" s="2" t="n">
        <v>1.2</v>
      </c>
      <c r="H104" s="2" t="n">
        <v>1700</v>
      </c>
      <c r="I104" s="2" t="n">
        <v>1000</v>
      </c>
      <c r="J104" s="2" t="n">
        <v>0.95</v>
      </c>
      <c r="K104" s="2" t="n">
        <v>0.7</v>
      </c>
      <c r="L104" s="2" t="n">
        <v>0.7</v>
      </c>
      <c r="M104" s="2" t="inlineStr">
        <is>
          <t>MediumRough</t>
        </is>
      </c>
      <c r="N104" s="22">
        <f>IF(G104&gt;0,F104/G104,0)</f>
        <v/>
      </c>
    </row>
    <row r="105">
      <c r="A105" s="2" t="inlineStr">
        <is>
          <t>B09</t>
        </is>
      </c>
      <c r="B105" s="2" t="inlineStr">
        <is>
          <t>FL_POLIMI-LC_InternalFloor_IH-IH_Toilet</t>
        </is>
      </c>
      <c r="C105" s="2" t="n">
        <v>3</v>
      </c>
      <c r="D105" s="2" t="inlineStr">
        <is>
          <t>dtu_MT_POLIMI_Isolante rigido-0.1</t>
        </is>
      </c>
      <c r="E105" s="2" t="inlineStr">
        <is>
          <t>dtu_MT_POLIMI_Isolante rigido</t>
        </is>
      </c>
      <c r="F105" s="2" t="n">
        <v>0.1</v>
      </c>
      <c r="G105" s="2" t="n">
        <v>0.04</v>
      </c>
      <c r="H105" s="2" t="n">
        <v>30</v>
      </c>
      <c r="I105" s="2" t="n">
        <v>1452</v>
      </c>
      <c r="J105" s="2" t="n">
        <v>0.95</v>
      </c>
      <c r="K105" s="2" t="n">
        <v>0.7</v>
      </c>
      <c r="L105" s="2" t="n">
        <v>0.7</v>
      </c>
      <c r="M105" s="2" t="inlineStr">
        <is>
          <t>MediumRough</t>
        </is>
      </c>
      <c r="N105" s="22">
        <f>IF(G105&gt;0,F105/G105,0)</f>
        <v/>
      </c>
    </row>
    <row r="106">
      <c r="A106" s="2" t="inlineStr">
        <is>
          <t>B09</t>
        </is>
      </c>
      <c r="B106" s="2" t="inlineStr">
        <is>
          <t>FL_POLIMI-LC_InternalFloor_IH-IH_Toilet</t>
        </is>
      </c>
      <c r="C106" s="2" t="n">
        <v>4</v>
      </c>
      <c r="D106" s="2" t="inlineStr">
        <is>
          <t>dtu_MT_Solaio laterocemento-0.15</t>
        </is>
      </c>
      <c r="E106" s="2" t="inlineStr">
        <is>
          <t>dtu_MT_Solaio laterocemento</t>
        </is>
      </c>
      <c r="F106" s="2" t="n">
        <v>0.15</v>
      </c>
      <c r="G106" s="2" t="n">
        <v>0.66</v>
      </c>
      <c r="H106" s="2" t="n">
        <v>1100</v>
      </c>
      <c r="I106" s="2" t="n">
        <v>839</v>
      </c>
      <c r="J106" s="2" t="n">
        <v>0.95</v>
      </c>
      <c r="K106" s="2" t="n">
        <v>0.7</v>
      </c>
      <c r="L106" s="2" t="n">
        <v>0.7</v>
      </c>
      <c r="M106" s="2" t="inlineStr">
        <is>
          <t>MediumRough</t>
        </is>
      </c>
      <c r="N106" s="22">
        <f>IF(G106&gt;0,F106/G106,0)</f>
        <v/>
      </c>
    </row>
    <row r="107">
      <c r="A107" s="2" t="inlineStr">
        <is>
          <t>B09</t>
        </is>
      </c>
      <c r="B107" s="2" t="inlineStr">
        <is>
          <t>FL_POLIMI-LC_InternalFloor_IH-IH_Toilet</t>
        </is>
      </c>
      <c r="C107" s="2" t="n">
        <v>5</v>
      </c>
      <c r="D107" s="2" t="inlineStr">
        <is>
          <t>dtu_MT__POLIMI_Intonaco interno-0.02</t>
        </is>
      </c>
      <c r="E107" s="2" t="inlineStr">
        <is>
          <t>dtu_MT__POLIMI_Intonaco interno</t>
        </is>
      </c>
      <c r="F107" s="2" t="n">
        <v>0.02</v>
      </c>
      <c r="G107" s="2" t="n">
        <v>0.35</v>
      </c>
      <c r="H107" s="2" t="n">
        <v>1200</v>
      </c>
      <c r="I107" s="2" t="n">
        <v>999</v>
      </c>
      <c r="J107" s="2" t="n">
        <v>0.9</v>
      </c>
      <c r="K107" s="2" t="n">
        <v>0.7</v>
      </c>
      <c r="L107" s="2" t="n">
        <v>0.7</v>
      </c>
      <c r="M107" s="2" t="inlineStr">
        <is>
          <t>MediumRough</t>
        </is>
      </c>
      <c r="N107" s="22">
        <f>IF(G107&gt;0,F107/G107,0)</f>
        <v/>
      </c>
    </row>
    <row r="108">
      <c r="A108" s="2" t="inlineStr">
        <is>
          <t>B09</t>
        </is>
      </c>
      <c r="B108" s="2" t="inlineStr">
        <is>
          <t>RF_POLIMI-LC_IH-E</t>
        </is>
      </c>
      <c r="C108" s="2" t="n">
        <v>1</v>
      </c>
      <c r="D108" s="2" t="inlineStr">
        <is>
          <t>dtu_MT_POLIMI_Ghiaia-0.08</t>
        </is>
      </c>
      <c r="E108" s="2" t="inlineStr">
        <is>
          <t>dtu_MT_POLIMI_Ghiaia</t>
        </is>
      </c>
      <c r="F108" s="2" t="n">
        <v>0.08</v>
      </c>
      <c r="G108" s="2" t="n">
        <v>1.2</v>
      </c>
      <c r="H108" s="2" t="n">
        <v>1700</v>
      </c>
      <c r="I108" s="2" t="n">
        <v>1000</v>
      </c>
      <c r="J108" s="2" t="n">
        <v>0.95</v>
      </c>
      <c r="K108" s="2" t="n">
        <v>0.7</v>
      </c>
      <c r="L108" s="2" t="n">
        <v>0.7</v>
      </c>
      <c r="M108" s="2" t="inlineStr">
        <is>
          <t>MediumRough</t>
        </is>
      </c>
      <c r="N108" s="22">
        <f>IF(G108&gt;0,F108/G108,0)</f>
        <v/>
      </c>
    </row>
    <row r="109">
      <c r="A109" s="2" t="inlineStr">
        <is>
          <t>B09</t>
        </is>
      </c>
      <c r="B109" s="2" t="inlineStr">
        <is>
          <t>RF_POLIMI-LC_IH-E</t>
        </is>
      </c>
      <c r="C109" s="2" t="n">
        <v>2</v>
      </c>
      <c r="D109" s="2" t="inlineStr">
        <is>
          <t>dtu_MT_POLIMI_Massetto-0.12</t>
        </is>
      </c>
      <c r="E109" s="2" t="inlineStr">
        <is>
          <t>dtu_MT_POLIMI_Massetto</t>
        </is>
      </c>
      <c r="F109" s="2" t="n">
        <v>0.12</v>
      </c>
      <c r="G109" s="2" t="n">
        <v>1.2</v>
      </c>
      <c r="H109" s="2" t="n">
        <v>1700</v>
      </c>
      <c r="I109" s="2" t="n">
        <v>1000</v>
      </c>
      <c r="J109" s="2" t="n">
        <v>0.95</v>
      </c>
      <c r="K109" s="2" t="n">
        <v>0.7</v>
      </c>
      <c r="L109" s="2" t="n">
        <v>0.7</v>
      </c>
      <c r="M109" s="2" t="inlineStr">
        <is>
          <t>MediumRough</t>
        </is>
      </c>
      <c r="N109" s="22">
        <f>IF(G109&gt;0,F109/G109,0)</f>
        <v/>
      </c>
    </row>
    <row r="110">
      <c r="A110" s="2" t="inlineStr">
        <is>
          <t>B09</t>
        </is>
      </c>
      <c r="B110" s="2" t="inlineStr">
        <is>
          <t>RF_POLIMI-LC_IH-E</t>
        </is>
      </c>
      <c r="C110" s="2" t="n">
        <v>3</v>
      </c>
      <c r="D110" s="2" t="inlineStr">
        <is>
          <t>dtu_MT_POLIMI_Isolante rigido-0.08</t>
        </is>
      </c>
      <c r="E110" s="2" t="inlineStr">
        <is>
          <t>dtu_MT_POLIMI_Isolante rigido</t>
        </is>
      </c>
      <c r="F110" s="2" t="n">
        <v>0.08</v>
      </c>
      <c r="G110" s="2" t="n">
        <v>0.04</v>
      </c>
      <c r="H110" s="2" t="n">
        <v>30</v>
      </c>
      <c r="I110" s="2" t="n">
        <v>1452</v>
      </c>
      <c r="J110" s="2" t="n">
        <v>0.95</v>
      </c>
      <c r="K110" s="2" t="n">
        <v>0.7</v>
      </c>
      <c r="L110" s="2" t="n">
        <v>0.7</v>
      </c>
      <c r="M110" s="2" t="inlineStr">
        <is>
          <t>MediumRough</t>
        </is>
      </c>
      <c r="N110" s="22">
        <f>IF(G110&gt;0,F110/G110,0)</f>
        <v/>
      </c>
    </row>
    <row r="111">
      <c r="A111" s="2" t="inlineStr">
        <is>
          <t>B09</t>
        </is>
      </c>
      <c r="B111" s="2" t="inlineStr">
        <is>
          <t>RF_POLIMI-LC_IH-E</t>
        </is>
      </c>
      <c r="C111" s="2" t="n">
        <v>4</v>
      </c>
      <c r="D111" s="2" t="inlineStr">
        <is>
          <t>dtu_MT_POLIMI_CLS-0.25</t>
        </is>
      </c>
      <c r="E111" s="2" t="inlineStr">
        <is>
          <t>dtu_MT_POLIMI_CLS</t>
        </is>
      </c>
      <c r="F111" s="2" t="n">
        <v>0.25</v>
      </c>
      <c r="G111" s="2" t="n">
        <v>1.046</v>
      </c>
      <c r="H111" s="2" t="n">
        <v>2300</v>
      </c>
      <c r="I111" s="2" t="n">
        <v>657</v>
      </c>
      <c r="J111" s="2" t="n">
        <v>0.95</v>
      </c>
      <c r="K111" s="2" t="n">
        <v>0.7</v>
      </c>
      <c r="L111" s="2" t="n">
        <v>0.7</v>
      </c>
      <c r="M111" s="2" t="inlineStr">
        <is>
          <t>MediumRough</t>
        </is>
      </c>
      <c r="N111" s="22">
        <f>IF(G111&gt;0,F111/G111,0)</f>
        <v/>
      </c>
    </row>
    <row r="112">
      <c r="A112" s="2" t="inlineStr">
        <is>
          <t>B10</t>
        </is>
      </c>
      <c r="B112" s="2" t="inlineStr">
        <is>
          <t>Generic Interior Wall</t>
        </is>
      </c>
      <c r="C112" s="2" t="n">
        <v>1</v>
      </c>
      <c r="D112" s="2" t="inlineStr">
        <is>
          <t>Generic Gypsum Board</t>
        </is>
      </c>
      <c r="E112" s="2" t="inlineStr">
        <is>
          <t>Generic Gypsum Board</t>
        </is>
      </c>
      <c r="F112" s="2" t="n">
        <v>0.0127</v>
      </c>
      <c r="G112" s="2" t="n">
        <v>0.16</v>
      </c>
      <c r="H112" s="2" t="n">
        <v>800</v>
      </c>
      <c r="I112" s="2" t="n">
        <v>1090</v>
      </c>
      <c r="J112" s="2" t="n">
        <v>0.9</v>
      </c>
      <c r="K112" s="2" t="n">
        <v>0.5</v>
      </c>
      <c r="L112" s="2" t="n">
        <v>0.5</v>
      </c>
      <c r="M112" s="2" t="inlineStr">
        <is>
          <t>MediumSmooth</t>
        </is>
      </c>
      <c r="N112" s="22">
        <f>IF(G112&gt;0,F112/G112,0)</f>
        <v/>
      </c>
    </row>
    <row r="113">
      <c r="A113" s="2" t="inlineStr">
        <is>
          <t>B10</t>
        </is>
      </c>
      <c r="B113" s="2" t="inlineStr">
        <is>
          <t>Generic Interior Wall</t>
        </is>
      </c>
      <c r="C113" s="2" t="n">
        <v>2</v>
      </c>
      <c r="D113" s="2" t="inlineStr">
        <is>
          <t>Generic Wall Air Gap</t>
        </is>
      </c>
      <c r="E113" s="2" t="inlineStr">
        <is>
          <t>Generic Wall Air Gap</t>
        </is>
      </c>
      <c r="F113" s="2" t="n">
        <v>0.1</v>
      </c>
      <c r="G113" s="2" t="n">
        <v>0.667</v>
      </c>
      <c r="H113" s="2" t="n">
        <v>1.28</v>
      </c>
      <c r="I113" s="2" t="n">
        <v>1000</v>
      </c>
      <c r="J113" s="2" t="n">
        <v>0.9</v>
      </c>
      <c r="K113" s="2" t="n">
        <v>0.7</v>
      </c>
      <c r="L113" s="2" t="n">
        <v>0.7</v>
      </c>
      <c r="M113" s="2" t="inlineStr">
        <is>
          <t>Smooth</t>
        </is>
      </c>
      <c r="N113" s="22">
        <f>IF(G113&gt;0,F113/G113,0)</f>
        <v/>
      </c>
    </row>
    <row r="114">
      <c r="A114" s="2" t="inlineStr">
        <is>
          <t>B10</t>
        </is>
      </c>
      <c r="B114" s="2" t="inlineStr">
        <is>
          <t>Generic Interior Wall</t>
        </is>
      </c>
      <c r="C114" s="2" t="n">
        <v>3</v>
      </c>
      <c r="D114" s="2" t="inlineStr">
        <is>
          <t>Generic Gypsum Board</t>
        </is>
      </c>
      <c r="E114" s="2" t="inlineStr">
        <is>
          <t>Generic Gypsum Board</t>
        </is>
      </c>
      <c r="F114" s="2" t="n">
        <v>0.0127</v>
      </c>
      <c r="G114" s="2" t="n">
        <v>0.16</v>
      </c>
      <c r="H114" s="2" t="n">
        <v>800</v>
      </c>
      <c r="I114" s="2" t="n">
        <v>1090</v>
      </c>
      <c r="J114" s="2" t="n">
        <v>0.9</v>
      </c>
      <c r="K114" s="2" t="n">
        <v>0.5</v>
      </c>
      <c r="L114" s="2" t="n">
        <v>0.5</v>
      </c>
      <c r="M114" s="2" t="inlineStr">
        <is>
          <t>MediumSmooth</t>
        </is>
      </c>
      <c r="N114" s="22">
        <f>IF(G114&gt;0,F114/G114,0)</f>
        <v/>
      </c>
    </row>
    <row r="115">
      <c r="A115" s="2" t="inlineStr">
        <is>
          <t>B10</t>
        </is>
      </c>
      <c r="B115" s="2" t="inlineStr">
        <is>
          <t>Generic Interior Floor</t>
        </is>
      </c>
      <c r="C115" s="2" t="n">
        <v>1</v>
      </c>
      <c r="D115" s="2" t="inlineStr">
        <is>
          <t>Generic Acoustic Tile</t>
        </is>
      </c>
      <c r="E115" s="2" t="inlineStr">
        <is>
          <t>Generic Acoustic Tile</t>
        </is>
      </c>
      <c r="F115" s="2" t="n">
        <v>0.02</v>
      </c>
      <c r="G115" s="2" t="n">
        <v>0.06</v>
      </c>
      <c r="H115" s="2" t="n">
        <v>368</v>
      </c>
      <c r="I115" s="2" t="n">
        <v>590</v>
      </c>
      <c r="J115" s="2" t="n">
        <v>0.9</v>
      </c>
      <c r="K115" s="2" t="n">
        <v>0.2</v>
      </c>
      <c r="L115" s="2" t="n">
        <v>0.2</v>
      </c>
      <c r="M115" s="2" t="inlineStr">
        <is>
          <t>MediumSmooth</t>
        </is>
      </c>
      <c r="N115" s="22">
        <f>IF(G115&gt;0,F115/G115,0)</f>
        <v/>
      </c>
    </row>
    <row r="116">
      <c r="A116" s="2" t="inlineStr">
        <is>
          <t>B10</t>
        </is>
      </c>
      <c r="B116" s="2" t="inlineStr">
        <is>
          <t>Generic Interior Floor</t>
        </is>
      </c>
      <c r="C116" s="2" t="n">
        <v>2</v>
      </c>
      <c r="D116" s="2" t="inlineStr">
        <is>
          <t>Generic Ceiling Air Gap</t>
        </is>
      </c>
      <c r="E116" s="2" t="inlineStr">
        <is>
          <t>Generic Ceiling Air Gap</t>
        </is>
      </c>
      <c r="F116" s="2" t="n">
        <v>0.1</v>
      </c>
      <c r="G116" s="2" t="n">
        <v>0.556</v>
      </c>
      <c r="H116" s="2" t="n">
        <v>1.28</v>
      </c>
      <c r="I116" s="2" t="n">
        <v>1000</v>
      </c>
      <c r="J116" s="2" t="n">
        <v>0.9</v>
      </c>
      <c r="K116" s="2" t="n">
        <v>0.7</v>
      </c>
      <c r="L116" s="2" t="n">
        <v>0.7</v>
      </c>
      <c r="M116" s="2" t="inlineStr">
        <is>
          <t>Smooth</t>
        </is>
      </c>
      <c r="N116" s="22">
        <f>IF(G116&gt;0,F116/G116,0)</f>
        <v/>
      </c>
    </row>
    <row r="117">
      <c r="A117" s="2" t="inlineStr">
        <is>
          <t>B10</t>
        </is>
      </c>
      <c r="B117" s="2" t="inlineStr">
        <is>
          <t>Generic Interior Floor</t>
        </is>
      </c>
      <c r="C117" s="2" t="n">
        <v>3</v>
      </c>
      <c r="D117" s="2" t="inlineStr">
        <is>
          <t>Generic LW Concrete</t>
        </is>
      </c>
      <c r="E117" s="2" t="inlineStr">
        <is>
          <t>Generic LW Concrete</t>
        </is>
      </c>
      <c r="F117" s="2" t="n">
        <v>0.1</v>
      </c>
      <c r="G117" s="2" t="n">
        <v>0.53</v>
      </c>
      <c r="H117" s="2" t="n">
        <v>1280</v>
      </c>
      <c r="I117" s="2" t="n">
        <v>840</v>
      </c>
      <c r="J117" s="2" t="n">
        <v>0.9</v>
      </c>
      <c r="K117" s="2" t="n">
        <v>0.8</v>
      </c>
      <c r="L117" s="2" t="n">
        <v>0.8</v>
      </c>
      <c r="M117" s="2" t="inlineStr">
        <is>
          <t>MediumRough</t>
        </is>
      </c>
      <c r="N117" s="22">
        <f>IF(G117&gt;0,F117/G117,0)</f>
        <v/>
      </c>
    </row>
    <row r="118">
      <c r="A118" s="2" t="inlineStr">
        <is>
          <t>B10</t>
        </is>
      </c>
      <c r="B118" s="2" t="inlineStr">
        <is>
          <t>WL_POLIMI-LC_EW01</t>
        </is>
      </c>
      <c r="C118" s="2" t="n">
        <v>1</v>
      </c>
      <c r="D118" s="2" t="inlineStr">
        <is>
          <t>dtu_MT_POLIMI_Pannello in alluminio-0.005</t>
        </is>
      </c>
      <c r="E118" s="2" t="inlineStr">
        <is>
          <t>dtu_MT_POLIMI_Pannello in alluminio</t>
        </is>
      </c>
      <c r="F118" s="2" t="n">
        <v>0.005</v>
      </c>
      <c r="G118" s="2" t="n">
        <v>220</v>
      </c>
      <c r="H118" s="2" t="n">
        <v>2700</v>
      </c>
      <c r="I118" s="2" t="n">
        <v>896</v>
      </c>
      <c r="J118" s="2" t="n">
        <v>0.2</v>
      </c>
      <c r="K118" s="2" t="n">
        <v>0.7</v>
      </c>
      <c r="L118" s="2" t="n">
        <v>0.7</v>
      </c>
      <c r="M118" s="2" t="inlineStr">
        <is>
          <t>MediumRough</t>
        </is>
      </c>
      <c r="N118" s="22">
        <f>IF(G118&gt;0,F118/G118,0)</f>
        <v/>
      </c>
    </row>
    <row r="119">
      <c r="A119" s="2" t="inlineStr">
        <is>
          <t>B10</t>
        </is>
      </c>
      <c r="B119" s="2" t="inlineStr">
        <is>
          <t>WL_POLIMI-LC_EW01</t>
        </is>
      </c>
      <c r="C119" s="2" t="n">
        <v>2</v>
      </c>
      <c r="D119" s="2" t="inlineStr">
        <is>
          <t>dtu_MT_POLIMI_Camera d'aria fortemente ventilata-0.035</t>
        </is>
      </c>
      <c r="E119" s="2" t="inlineStr">
        <is>
          <t>dtu_MT_POLIMI_Camera d'aria fortemente ventilata</t>
        </is>
      </c>
      <c r="F119" s="2" t="n">
        <v>0.035</v>
      </c>
      <c r="G119" s="2" t="n">
        <v>0.285</v>
      </c>
      <c r="H119" s="2" t="n">
        <v>1</v>
      </c>
      <c r="I119" s="2" t="n">
        <v>1004</v>
      </c>
      <c r="J119" s="2" t="n">
        <v>0.7</v>
      </c>
      <c r="K119" s="2" t="n">
        <v>0.7</v>
      </c>
      <c r="L119" s="2" t="n">
        <v>0.7</v>
      </c>
      <c r="M119" s="2" t="inlineStr">
        <is>
          <t>MediumRough</t>
        </is>
      </c>
      <c r="N119" s="22">
        <f>IF(G119&gt;0,F119/G119,0)</f>
        <v/>
      </c>
    </row>
    <row r="120">
      <c r="A120" s="2" t="inlineStr">
        <is>
          <t>B10</t>
        </is>
      </c>
      <c r="B120" s="2" t="inlineStr">
        <is>
          <t>WL_POLIMI-LC_EW01</t>
        </is>
      </c>
      <c r="C120" s="2" t="n">
        <v>3</v>
      </c>
      <c r="D120" s="2" t="inlineStr">
        <is>
          <t>dtu_MT_POLIMI_Isolante rigido-0.06</t>
        </is>
      </c>
      <c r="E120" s="2" t="inlineStr">
        <is>
          <t>dtu_MT_POLIMI_Isolante rigido</t>
        </is>
      </c>
      <c r="F120" s="2" t="n">
        <v>0.06</v>
      </c>
      <c r="G120" s="2" t="n">
        <v>0.04</v>
      </c>
      <c r="H120" s="2" t="n">
        <v>30</v>
      </c>
      <c r="I120" s="2" t="n">
        <v>1452</v>
      </c>
      <c r="J120" s="2" t="n">
        <v>0.95</v>
      </c>
      <c r="K120" s="2" t="n">
        <v>0.7</v>
      </c>
      <c r="L120" s="2" t="n">
        <v>0.7</v>
      </c>
      <c r="M120" s="2" t="inlineStr">
        <is>
          <t>MediumRough</t>
        </is>
      </c>
      <c r="N120" s="22">
        <f>IF(G120&gt;0,F120/G120,0)</f>
        <v/>
      </c>
    </row>
    <row r="121">
      <c r="A121" s="2" t="inlineStr">
        <is>
          <t>B10</t>
        </is>
      </c>
      <c r="B121" s="2" t="inlineStr">
        <is>
          <t>WL_POLIMI-LC_EW01</t>
        </is>
      </c>
      <c r="C121" s="2" t="n">
        <v>4</v>
      </c>
      <c r="D121" s="2" t="inlineStr">
        <is>
          <t>dtu_MT_POLIMI_Membrana impermeabilizzante-0.005</t>
        </is>
      </c>
      <c r="E121" s="2" t="inlineStr">
        <is>
          <t>dtu_MT_POLIMI_Membrana impermeabilizzante</t>
        </is>
      </c>
      <c r="F121" s="2" t="n">
        <v>0.005</v>
      </c>
      <c r="G121" s="2" t="n">
        <v>0.23</v>
      </c>
      <c r="H121" s="2" t="n">
        <v>1100</v>
      </c>
      <c r="I121" s="2" t="n">
        <v>1000</v>
      </c>
      <c r="J121" s="2" t="n">
        <v>0.95</v>
      </c>
      <c r="K121" s="2" t="n">
        <v>0.7</v>
      </c>
      <c r="L121" s="2" t="n">
        <v>0.7</v>
      </c>
      <c r="M121" s="2" t="inlineStr">
        <is>
          <t>MediumRough</t>
        </is>
      </c>
      <c r="N121" s="22">
        <f>IF(G121&gt;0,F121/G121,0)</f>
        <v/>
      </c>
    </row>
    <row r="122">
      <c r="A122" s="2" t="inlineStr">
        <is>
          <t>B10</t>
        </is>
      </c>
      <c r="B122" s="2" t="inlineStr">
        <is>
          <t>WL_POLIMI-LC_EW01</t>
        </is>
      </c>
      <c r="C122" s="2" t="n">
        <v>5</v>
      </c>
      <c r="D122" s="2" t="inlineStr">
        <is>
          <t>dtu_MT_POLIMI_Camera d'aria debolmente ventilata-0.2</t>
        </is>
      </c>
      <c r="E122" s="2" t="inlineStr">
        <is>
          <t>dtu_MT_POLIMI_Camera d'aria debolmente ventilata</t>
        </is>
      </c>
      <c r="F122" s="2" t="n">
        <v>0.2</v>
      </c>
      <c r="G122" s="2" t="n">
        <v>1</v>
      </c>
      <c r="H122" s="2" t="n">
        <v>1</v>
      </c>
      <c r="I122" s="2" t="n">
        <v>1004</v>
      </c>
      <c r="J122" s="2" t="n">
        <v>0.7</v>
      </c>
      <c r="K122" s="2" t="n">
        <v>0.7</v>
      </c>
      <c r="L122" s="2" t="n">
        <v>0.7</v>
      </c>
      <c r="M122" s="2" t="inlineStr">
        <is>
          <t>MediumRough</t>
        </is>
      </c>
      <c r="N122" s="22">
        <f>IF(G122&gt;0,F122/G122,0)</f>
        <v/>
      </c>
    </row>
    <row r="123">
      <c r="A123" s="2" t="inlineStr">
        <is>
          <t>B10</t>
        </is>
      </c>
      <c r="B123" s="2" t="inlineStr">
        <is>
          <t>WL_POLIMI-LC_EW01</t>
        </is>
      </c>
      <c r="C123" s="2" t="n">
        <v>6</v>
      </c>
      <c r="D123" s="2" t="inlineStr">
        <is>
          <t>dtu_MT_POLIMI_Isolante morbido-0.065</t>
        </is>
      </c>
      <c r="E123" s="2" t="inlineStr">
        <is>
          <t>dtu_MT_POLIMI_Isolante morbido</t>
        </is>
      </c>
      <c r="F123" s="2" t="n">
        <v>0.065</v>
      </c>
      <c r="G123" s="2" t="n">
        <v>0.04</v>
      </c>
      <c r="H123" s="2" t="n">
        <v>80</v>
      </c>
      <c r="I123" s="2" t="n">
        <v>1028</v>
      </c>
      <c r="J123" s="2" t="n">
        <v>0.95</v>
      </c>
      <c r="K123" s="2" t="n">
        <v>0.7</v>
      </c>
      <c r="L123" s="2" t="n">
        <v>0.7</v>
      </c>
      <c r="M123" s="2" t="inlineStr">
        <is>
          <t>MediumRough</t>
        </is>
      </c>
      <c r="N123" s="22">
        <f>IF(G123&gt;0,F123/G123,0)</f>
        <v/>
      </c>
    </row>
    <row r="124">
      <c r="A124" s="2" t="inlineStr">
        <is>
          <t>B10</t>
        </is>
      </c>
      <c r="B124" s="2" t="inlineStr">
        <is>
          <t>WL_POLIMI-LC_EW01</t>
        </is>
      </c>
      <c r="C124" s="2" t="n">
        <v>7</v>
      </c>
      <c r="D124" s="2" t="inlineStr">
        <is>
          <t>dtu_MT_POLIMI_Gypsum Board-0.025</t>
        </is>
      </c>
      <c r="E124" s="2" t="inlineStr">
        <is>
          <t>dtu_MT_POLIMI_Gypsum Board</t>
        </is>
      </c>
      <c r="F124" s="2" t="n">
        <v>0.025</v>
      </c>
      <c r="G124" s="2" t="n">
        <v>0.21</v>
      </c>
      <c r="H124" s="2" t="n">
        <v>900</v>
      </c>
      <c r="I124" s="2" t="n">
        <v>1000</v>
      </c>
      <c r="J124" s="2" t="n">
        <v>0.9</v>
      </c>
      <c r="K124" s="2" t="n">
        <v>0.7</v>
      </c>
      <c r="L124" s="2" t="n">
        <v>0.7</v>
      </c>
      <c r="M124" s="2" t="inlineStr">
        <is>
          <t>MediumRough</t>
        </is>
      </c>
      <c r="N124" s="22">
        <f>IF(G124&gt;0,F124/G124,0)</f>
        <v/>
      </c>
    </row>
    <row r="125">
      <c r="A125" s="2" t="inlineStr">
        <is>
          <t>B10</t>
        </is>
      </c>
      <c r="B125" s="2" t="inlineStr">
        <is>
          <t>WL_POLIMI-LC_EW01</t>
        </is>
      </c>
      <c r="C125" s="2" t="n">
        <v>8</v>
      </c>
      <c r="D125" s="2" t="inlineStr">
        <is>
          <t>dtu_MT__POLIMI_Intonaco interno-0.01</t>
        </is>
      </c>
      <c r="E125" s="2" t="inlineStr">
        <is>
          <t>dtu_MT__POLIMI_Intonaco interno</t>
        </is>
      </c>
      <c r="F125" s="2" t="n">
        <v>0.01</v>
      </c>
      <c r="G125" s="2" t="n">
        <v>0.35</v>
      </c>
      <c r="H125" s="2" t="n">
        <v>1200</v>
      </c>
      <c r="I125" s="2" t="n">
        <v>999</v>
      </c>
      <c r="J125" s="2" t="n">
        <v>0.9</v>
      </c>
      <c r="K125" s="2" t="n">
        <v>0.7</v>
      </c>
      <c r="L125" s="2" t="n">
        <v>0.7</v>
      </c>
      <c r="M125" s="2" t="inlineStr">
        <is>
          <t>MediumRough</t>
        </is>
      </c>
      <c r="N125" s="22">
        <f>IF(G125&gt;0,F125/G125,0)</f>
        <v/>
      </c>
    </row>
    <row r="126">
      <c r="A126" s="2" t="inlineStr">
        <is>
          <t>B10</t>
        </is>
      </c>
      <c r="B126" s="2" t="inlineStr">
        <is>
          <t>WL_POLIMI-LC_EW02</t>
        </is>
      </c>
      <c r="C126" s="2" t="n">
        <v>1</v>
      </c>
      <c r="D126" s="2" t="inlineStr">
        <is>
          <t>dtu_MT_POLIMI_Pannello in alluminio-0.005</t>
        </is>
      </c>
      <c r="E126" s="2" t="inlineStr">
        <is>
          <t>dtu_MT_POLIMI_Pannello in alluminio</t>
        </is>
      </c>
      <c r="F126" s="2" t="n">
        <v>0.005</v>
      </c>
      <c r="G126" s="2" t="n">
        <v>220</v>
      </c>
      <c r="H126" s="2" t="n">
        <v>2700</v>
      </c>
      <c r="I126" s="2" t="n">
        <v>896</v>
      </c>
      <c r="J126" s="2" t="n">
        <v>0.2</v>
      </c>
      <c r="K126" s="2" t="n">
        <v>0.7</v>
      </c>
      <c r="L126" s="2" t="n">
        <v>0.7</v>
      </c>
      <c r="M126" s="2" t="inlineStr">
        <is>
          <t>MediumRough</t>
        </is>
      </c>
      <c r="N126" s="22">
        <f>IF(G126&gt;0,F126/G126,0)</f>
        <v/>
      </c>
    </row>
    <row r="127">
      <c r="A127" s="2" t="inlineStr">
        <is>
          <t>B10</t>
        </is>
      </c>
      <c r="B127" s="2" t="inlineStr">
        <is>
          <t>WL_POLIMI-LC_EW02</t>
        </is>
      </c>
      <c r="C127" s="2" t="n">
        <v>2</v>
      </c>
      <c r="D127" s="2" t="inlineStr">
        <is>
          <t>dtu_MT_POLIMI_Camera d'aria fortemente ventilata-0.035</t>
        </is>
      </c>
      <c r="E127" s="2" t="inlineStr">
        <is>
          <t>dtu_MT_POLIMI_Camera d'aria fortemente ventilata</t>
        </is>
      </c>
      <c r="F127" s="2" t="n">
        <v>0.035</v>
      </c>
      <c r="G127" s="2" t="n">
        <v>0.285</v>
      </c>
      <c r="H127" s="2" t="n">
        <v>1</v>
      </c>
      <c r="I127" s="2" t="n">
        <v>1004</v>
      </c>
      <c r="J127" s="2" t="n">
        <v>0.7</v>
      </c>
      <c r="K127" s="2" t="n">
        <v>0.7</v>
      </c>
      <c r="L127" s="2" t="n">
        <v>0.7</v>
      </c>
      <c r="M127" s="2" t="inlineStr">
        <is>
          <t>MediumRough</t>
        </is>
      </c>
      <c r="N127" s="22">
        <f>IF(G127&gt;0,F127/G127,0)</f>
        <v/>
      </c>
    </row>
    <row r="128">
      <c r="A128" s="2" t="inlineStr">
        <is>
          <t>B10</t>
        </is>
      </c>
      <c r="B128" s="2" t="inlineStr">
        <is>
          <t>WL_POLIMI-LC_EW02</t>
        </is>
      </c>
      <c r="C128" s="2" t="n">
        <v>3</v>
      </c>
      <c r="D128" s="2" t="inlineStr">
        <is>
          <t>dtu_MT_POLIMI_Isolante rigido-0.1</t>
        </is>
      </c>
      <c r="E128" s="2" t="inlineStr">
        <is>
          <t>dtu_MT_POLIMI_Isolante rigido</t>
        </is>
      </c>
      <c r="F128" s="2" t="n">
        <v>0.1</v>
      </c>
      <c r="G128" s="2" t="n">
        <v>0.04</v>
      </c>
      <c r="H128" s="2" t="n">
        <v>30</v>
      </c>
      <c r="I128" s="2" t="n">
        <v>1452</v>
      </c>
      <c r="J128" s="2" t="n">
        <v>0.95</v>
      </c>
      <c r="K128" s="2" t="n">
        <v>0.7</v>
      </c>
      <c r="L128" s="2" t="n">
        <v>0.7</v>
      </c>
      <c r="M128" s="2" t="inlineStr">
        <is>
          <t>MediumRough</t>
        </is>
      </c>
      <c r="N128" s="22">
        <f>IF(G128&gt;0,F128/G128,0)</f>
        <v/>
      </c>
    </row>
    <row r="129">
      <c r="A129" s="2" t="inlineStr">
        <is>
          <t>B10</t>
        </is>
      </c>
      <c r="B129" s="2" t="inlineStr">
        <is>
          <t>WL_POLIMI-LC_EW02</t>
        </is>
      </c>
      <c r="C129" s="2" t="n">
        <v>4</v>
      </c>
      <c r="D129" s="2" t="inlineStr">
        <is>
          <t>dtu_MT_POLIMI_Membrana impermeabilizzante-0.005</t>
        </is>
      </c>
      <c r="E129" s="2" t="inlineStr">
        <is>
          <t>dtu_MT_POLIMI_Membrana impermeabilizzante</t>
        </is>
      </c>
      <c r="F129" s="2" t="n">
        <v>0.005</v>
      </c>
      <c r="G129" s="2" t="n">
        <v>0.23</v>
      </c>
      <c r="H129" s="2" t="n">
        <v>1100</v>
      </c>
      <c r="I129" s="2" t="n">
        <v>1000</v>
      </c>
      <c r="J129" s="2" t="n">
        <v>0.95</v>
      </c>
      <c r="K129" s="2" t="n">
        <v>0.7</v>
      </c>
      <c r="L129" s="2" t="n">
        <v>0.7</v>
      </c>
      <c r="M129" s="2" t="inlineStr">
        <is>
          <t>MediumRough</t>
        </is>
      </c>
      <c r="N129" s="22">
        <f>IF(G129&gt;0,F129/G129,0)</f>
        <v/>
      </c>
    </row>
    <row r="130">
      <c r="A130" s="2" t="inlineStr">
        <is>
          <t>B10</t>
        </is>
      </c>
      <c r="B130" s="2" t="inlineStr">
        <is>
          <t>WL_POLIMI-LC_EW02</t>
        </is>
      </c>
      <c r="C130" s="2" t="n">
        <v>5</v>
      </c>
      <c r="D130" s="2" t="inlineStr">
        <is>
          <t>dtu_MT_POLIMI_Camera d'aria debolmente ventilata-0.26</t>
        </is>
      </c>
      <c r="E130" s="2" t="inlineStr">
        <is>
          <t>dtu_MT_POLIMI_Camera d'aria debolmente ventilata</t>
        </is>
      </c>
      <c r="F130" s="2" t="n">
        <v>0.26</v>
      </c>
      <c r="G130" s="2" t="n">
        <v>1</v>
      </c>
      <c r="H130" s="2" t="n">
        <v>1</v>
      </c>
      <c r="I130" s="2" t="n">
        <v>1004</v>
      </c>
      <c r="J130" s="2" t="n">
        <v>0.7</v>
      </c>
      <c r="K130" s="2" t="n">
        <v>0.7</v>
      </c>
      <c r="L130" s="2" t="n">
        <v>0.7</v>
      </c>
      <c r="M130" s="2" t="inlineStr">
        <is>
          <t>MediumRough</t>
        </is>
      </c>
      <c r="N130" s="22">
        <f>IF(G130&gt;0,F130/G130,0)</f>
        <v/>
      </c>
    </row>
    <row r="131">
      <c r="A131" s="2" t="inlineStr">
        <is>
          <t>B10</t>
        </is>
      </c>
      <c r="B131" s="2" t="inlineStr">
        <is>
          <t>WL_POLIMI-LC_EW02</t>
        </is>
      </c>
      <c r="C131" s="2" t="n">
        <v>6</v>
      </c>
      <c r="D131" s="2" t="inlineStr">
        <is>
          <t>dtu_MT_POLIMI_Isolante morbido-0.065</t>
        </is>
      </c>
      <c r="E131" s="2" t="inlineStr">
        <is>
          <t>dtu_MT_POLIMI_Isolante morbido</t>
        </is>
      </c>
      <c r="F131" s="2" t="n">
        <v>0.065</v>
      </c>
      <c r="G131" s="2" t="n">
        <v>0.04</v>
      </c>
      <c r="H131" s="2" t="n">
        <v>80</v>
      </c>
      <c r="I131" s="2" t="n">
        <v>1028</v>
      </c>
      <c r="J131" s="2" t="n">
        <v>0.95</v>
      </c>
      <c r="K131" s="2" t="n">
        <v>0.7</v>
      </c>
      <c r="L131" s="2" t="n">
        <v>0.7</v>
      </c>
      <c r="M131" s="2" t="inlineStr">
        <is>
          <t>MediumRough</t>
        </is>
      </c>
      <c r="N131" s="22">
        <f>IF(G131&gt;0,F131/G131,0)</f>
        <v/>
      </c>
    </row>
    <row r="132">
      <c r="A132" s="2" t="inlineStr">
        <is>
          <t>B10</t>
        </is>
      </c>
      <c r="B132" s="2" t="inlineStr">
        <is>
          <t>WL_POLIMI-LC_EW02</t>
        </is>
      </c>
      <c r="C132" s="2" t="n">
        <v>7</v>
      </c>
      <c r="D132" s="2" t="inlineStr">
        <is>
          <t>dtu_MT_POLIMI_Gypsum Board-0.025</t>
        </is>
      </c>
      <c r="E132" s="2" t="inlineStr">
        <is>
          <t>dtu_MT_POLIMI_Gypsum Board</t>
        </is>
      </c>
      <c r="F132" s="2" t="n">
        <v>0.025</v>
      </c>
      <c r="G132" s="2" t="n">
        <v>0.21</v>
      </c>
      <c r="H132" s="2" t="n">
        <v>900</v>
      </c>
      <c r="I132" s="2" t="n">
        <v>1000</v>
      </c>
      <c r="J132" s="2" t="n">
        <v>0.9</v>
      </c>
      <c r="K132" s="2" t="n">
        <v>0.7</v>
      </c>
      <c r="L132" s="2" t="n">
        <v>0.7</v>
      </c>
      <c r="M132" s="2" t="inlineStr">
        <is>
          <t>MediumRough</t>
        </is>
      </c>
      <c r="N132" s="22">
        <f>IF(G132&gt;0,F132/G132,0)</f>
        <v/>
      </c>
    </row>
    <row r="133">
      <c r="A133" s="2" t="inlineStr">
        <is>
          <t>B10</t>
        </is>
      </c>
      <c r="B133" s="2" t="inlineStr">
        <is>
          <t>WL_POLIMI-LC_EW02</t>
        </is>
      </c>
      <c r="C133" s="2" t="n">
        <v>8</v>
      </c>
      <c r="D133" s="2" t="inlineStr">
        <is>
          <t>dtu_MT__POLIMI_Intonaco interno-0.01</t>
        </is>
      </c>
      <c r="E133" s="2" t="inlineStr">
        <is>
          <t>dtu_MT__POLIMI_Intonaco interno</t>
        </is>
      </c>
      <c r="F133" s="2" t="n">
        <v>0.01</v>
      </c>
      <c r="G133" s="2" t="n">
        <v>0.35</v>
      </c>
      <c r="H133" s="2" t="n">
        <v>1200</v>
      </c>
      <c r="I133" s="2" t="n">
        <v>999</v>
      </c>
      <c r="J133" s="2" t="n">
        <v>0.9</v>
      </c>
      <c r="K133" s="2" t="n">
        <v>0.7</v>
      </c>
      <c r="L133" s="2" t="n">
        <v>0.7</v>
      </c>
      <c r="M133" s="2" t="inlineStr">
        <is>
          <t>MediumRough</t>
        </is>
      </c>
      <c r="N133" s="22">
        <f>IF(G133&gt;0,F133/G133,0)</f>
        <v/>
      </c>
    </row>
    <row r="134">
      <c r="A134" s="2" t="inlineStr">
        <is>
          <t>B10</t>
        </is>
      </c>
      <c r="B134" s="2" t="inlineStr">
        <is>
          <t>WL_POLIMI-LC_EW03</t>
        </is>
      </c>
      <c r="C134" s="2" t="n">
        <v>1</v>
      </c>
      <c r="D134" s="2" t="inlineStr">
        <is>
          <t>dtu_MT_POLIMI_Pannello in alluminio-0.005</t>
        </is>
      </c>
      <c r="E134" s="2" t="inlineStr">
        <is>
          <t>dtu_MT_POLIMI_Pannello in alluminio</t>
        </is>
      </c>
      <c r="F134" s="2" t="n">
        <v>0.005</v>
      </c>
      <c r="G134" s="2" t="n">
        <v>220</v>
      </c>
      <c r="H134" s="2" t="n">
        <v>2700</v>
      </c>
      <c r="I134" s="2" t="n">
        <v>896</v>
      </c>
      <c r="J134" s="2" t="n">
        <v>0.2</v>
      </c>
      <c r="K134" s="2" t="n">
        <v>0.7</v>
      </c>
      <c r="L134" s="2" t="n">
        <v>0.7</v>
      </c>
      <c r="M134" s="2" t="inlineStr">
        <is>
          <t>MediumRough</t>
        </is>
      </c>
      <c r="N134" s="22">
        <f>IF(G134&gt;0,F134/G134,0)</f>
        <v/>
      </c>
    </row>
    <row r="135">
      <c r="A135" s="2" t="inlineStr">
        <is>
          <t>B10</t>
        </is>
      </c>
      <c r="B135" s="2" t="inlineStr">
        <is>
          <t>WL_POLIMI-LC_EW03</t>
        </is>
      </c>
      <c r="C135" s="2" t="n">
        <v>2</v>
      </c>
      <c r="D135" s="2" t="inlineStr">
        <is>
          <t>dtu_MT_POLIMI_Camera d'aria fortemente ventilata-0.035</t>
        </is>
      </c>
      <c r="E135" s="2" t="inlineStr">
        <is>
          <t>dtu_MT_POLIMI_Camera d'aria fortemente ventilata</t>
        </is>
      </c>
      <c r="F135" s="2" t="n">
        <v>0.035</v>
      </c>
      <c r="G135" s="2" t="n">
        <v>0.285</v>
      </c>
      <c r="H135" s="2" t="n">
        <v>1</v>
      </c>
      <c r="I135" s="2" t="n">
        <v>1004</v>
      </c>
      <c r="J135" s="2" t="n">
        <v>0.7</v>
      </c>
      <c r="K135" s="2" t="n">
        <v>0.7</v>
      </c>
      <c r="L135" s="2" t="n">
        <v>0.7</v>
      </c>
      <c r="M135" s="2" t="inlineStr">
        <is>
          <t>MediumRough</t>
        </is>
      </c>
      <c r="N135" s="22">
        <f>IF(G135&gt;0,F135/G135,0)</f>
        <v/>
      </c>
    </row>
    <row r="136">
      <c r="A136" s="2" t="inlineStr">
        <is>
          <t>B10</t>
        </is>
      </c>
      <c r="B136" s="2" t="inlineStr">
        <is>
          <t>WL_POLIMI-LC_EW03</t>
        </is>
      </c>
      <c r="C136" s="2" t="n">
        <v>3</v>
      </c>
      <c r="D136" s="2" t="inlineStr">
        <is>
          <t>dtu_MT_POLIMI_Isolante rigido-0.1</t>
        </is>
      </c>
      <c r="E136" s="2" t="inlineStr">
        <is>
          <t>dtu_MT_POLIMI_Isolante rigido</t>
        </is>
      </c>
      <c r="F136" s="2" t="n">
        <v>0.1</v>
      </c>
      <c r="G136" s="2" t="n">
        <v>0.04</v>
      </c>
      <c r="H136" s="2" t="n">
        <v>30</v>
      </c>
      <c r="I136" s="2" t="n">
        <v>1452</v>
      </c>
      <c r="J136" s="2" t="n">
        <v>0.95</v>
      </c>
      <c r="K136" s="2" t="n">
        <v>0.7</v>
      </c>
      <c r="L136" s="2" t="n">
        <v>0.7</v>
      </c>
      <c r="M136" s="2" t="inlineStr">
        <is>
          <t>MediumRough</t>
        </is>
      </c>
      <c r="N136" s="22">
        <f>IF(G136&gt;0,F136/G136,0)</f>
        <v/>
      </c>
    </row>
    <row r="137">
      <c r="A137" s="2" t="inlineStr">
        <is>
          <t>B10</t>
        </is>
      </c>
      <c r="B137" s="2" t="inlineStr">
        <is>
          <t>WL_POLIMI-LC_EW03</t>
        </is>
      </c>
      <c r="C137" s="2" t="n">
        <v>4</v>
      </c>
      <c r="D137" s="2" t="inlineStr">
        <is>
          <t>dtu_MT_POLIMI_Membrana impermeabilizzante-0.005</t>
        </is>
      </c>
      <c r="E137" s="2" t="inlineStr">
        <is>
          <t>dtu_MT_POLIMI_Membrana impermeabilizzante</t>
        </is>
      </c>
      <c r="F137" s="2" t="n">
        <v>0.005</v>
      </c>
      <c r="G137" s="2" t="n">
        <v>0.23</v>
      </c>
      <c r="H137" s="2" t="n">
        <v>1100</v>
      </c>
      <c r="I137" s="2" t="n">
        <v>1000</v>
      </c>
      <c r="J137" s="2" t="n">
        <v>0.95</v>
      </c>
      <c r="K137" s="2" t="n">
        <v>0.7</v>
      </c>
      <c r="L137" s="2" t="n">
        <v>0.7</v>
      </c>
      <c r="M137" s="2" t="inlineStr">
        <is>
          <t>MediumRough</t>
        </is>
      </c>
      <c r="N137" s="22">
        <f>IF(G137&gt;0,F137/G137,0)</f>
        <v/>
      </c>
    </row>
    <row r="138">
      <c r="A138" s="2" t="inlineStr">
        <is>
          <t>B10</t>
        </is>
      </c>
      <c r="B138" s="2" t="inlineStr">
        <is>
          <t>WL_POLIMI-LC_EW03</t>
        </is>
      </c>
      <c r="C138" s="2" t="n">
        <v>5</v>
      </c>
      <c r="D138" s="2" t="inlineStr">
        <is>
          <t>dtu_MT_POLIMI_Camera d'aria debolmente ventilata-0.265</t>
        </is>
      </c>
      <c r="E138" s="2" t="inlineStr">
        <is>
          <t>dtu_MT_POLIMI_Camera d'aria debolmente ventilata</t>
        </is>
      </c>
      <c r="F138" s="2" t="n">
        <v>0.265</v>
      </c>
      <c r="G138" s="2" t="n">
        <v>1</v>
      </c>
      <c r="H138" s="2" t="n">
        <v>1</v>
      </c>
      <c r="I138" s="2" t="n">
        <v>1004</v>
      </c>
      <c r="J138" s="2" t="n">
        <v>0.7</v>
      </c>
      <c r="K138" s="2" t="n">
        <v>0.7</v>
      </c>
      <c r="L138" s="2" t="n">
        <v>0.7</v>
      </c>
      <c r="M138" s="2" t="inlineStr">
        <is>
          <t>MediumRough</t>
        </is>
      </c>
      <c r="N138" s="22">
        <f>IF(G138&gt;0,F138/G138,0)</f>
        <v/>
      </c>
    </row>
    <row r="139">
      <c r="A139" s="2" t="inlineStr">
        <is>
          <t>B10</t>
        </is>
      </c>
      <c r="B139" s="2" t="inlineStr">
        <is>
          <t>WL_POLIMI-LC_EW03</t>
        </is>
      </c>
      <c r="C139" s="2" t="n">
        <v>6</v>
      </c>
      <c r="D139" s="2" t="inlineStr">
        <is>
          <t>dtu_MT_POLIMI_CLS-0.425</t>
        </is>
      </c>
      <c r="E139" s="2" t="inlineStr">
        <is>
          <t>dtu_MT_POLIMI_CLS</t>
        </is>
      </c>
      <c r="F139" s="2" t="n">
        <v>0.425</v>
      </c>
      <c r="G139" s="2" t="n">
        <v>1.046</v>
      </c>
      <c r="H139" s="2" t="n">
        <v>2300</v>
      </c>
      <c r="I139" s="2" t="n">
        <v>657</v>
      </c>
      <c r="J139" s="2" t="n">
        <v>0.95</v>
      </c>
      <c r="K139" s="2" t="n">
        <v>0.7</v>
      </c>
      <c r="L139" s="2" t="n">
        <v>0.7</v>
      </c>
      <c r="M139" s="2" t="inlineStr">
        <is>
          <t>MediumRough</t>
        </is>
      </c>
      <c r="N139" s="22">
        <f>IF(G139&gt;0,F139/G139,0)</f>
        <v/>
      </c>
    </row>
    <row r="140">
      <c r="A140" s="2" t="inlineStr">
        <is>
          <t>B10</t>
        </is>
      </c>
      <c r="B140" s="2" t="inlineStr">
        <is>
          <t>WL_POLIMI-LC_EW03</t>
        </is>
      </c>
      <c r="C140" s="2" t="n">
        <v>7</v>
      </c>
      <c r="D140" s="2" t="inlineStr">
        <is>
          <t>dtu_MT_POLIMI_Isolante morbido-0.065</t>
        </is>
      </c>
      <c r="E140" s="2" t="inlineStr">
        <is>
          <t>dtu_MT_POLIMI_Isolante morbido</t>
        </is>
      </c>
      <c r="F140" s="2" t="n">
        <v>0.065</v>
      </c>
      <c r="G140" s="2" t="n">
        <v>0.04</v>
      </c>
      <c r="H140" s="2" t="n">
        <v>80</v>
      </c>
      <c r="I140" s="2" t="n">
        <v>1028</v>
      </c>
      <c r="J140" s="2" t="n">
        <v>0.95</v>
      </c>
      <c r="K140" s="2" t="n">
        <v>0.7</v>
      </c>
      <c r="L140" s="2" t="n">
        <v>0.7</v>
      </c>
      <c r="M140" s="2" t="inlineStr">
        <is>
          <t>MediumRough</t>
        </is>
      </c>
      <c r="N140" s="22">
        <f>IF(G140&gt;0,F140/G140,0)</f>
        <v/>
      </c>
    </row>
    <row r="141">
      <c r="A141" s="2" t="inlineStr">
        <is>
          <t>B10</t>
        </is>
      </c>
      <c r="B141" s="2" t="inlineStr">
        <is>
          <t>WL_POLIMI-LC_EW03</t>
        </is>
      </c>
      <c r="C141" s="2" t="n">
        <v>8</v>
      </c>
      <c r="D141" s="2" t="inlineStr">
        <is>
          <t>dtu_MT_POLIMI_Gypsum Board-0.025</t>
        </is>
      </c>
      <c r="E141" s="2" t="inlineStr">
        <is>
          <t>dtu_MT_POLIMI_Gypsum Board</t>
        </is>
      </c>
      <c r="F141" s="2" t="n">
        <v>0.025</v>
      </c>
      <c r="G141" s="2" t="n">
        <v>0.21</v>
      </c>
      <c r="H141" s="2" t="n">
        <v>900</v>
      </c>
      <c r="I141" s="2" t="n">
        <v>1000</v>
      </c>
      <c r="J141" s="2" t="n">
        <v>0.9</v>
      </c>
      <c r="K141" s="2" t="n">
        <v>0.7</v>
      </c>
      <c r="L141" s="2" t="n">
        <v>0.7</v>
      </c>
      <c r="M141" s="2" t="inlineStr">
        <is>
          <t>MediumRough</t>
        </is>
      </c>
      <c r="N141" s="22">
        <f>IF(G141&gt;0,F141/G141,0)</f>
        <v/>
      </c>
    </row>
    <row r="142">
      <c r="A142" s="2" t="inlineStr">
        <is>
          <t>B10</t>
        </is>
      </c>
      <c r="B142" s="2" t="inlineStr">
        <is>
          <t>WL_POLIMI-LC_EW03</t>
        </is>
      </c>
      <c r="C142" s="2" t="n">
        <v>9</v>
      </c>
      <c r="D142" s="2" t="inlineStr">
        <is>
          <t>dtu_MT__POLIMI_Intonaco interno-0.01</t>
        </is>
      </c>
      <c r="E142" s="2" t="inlineStr">
        <is>
          <t>dtu_MT__POLIMI_Intonaco interno</t>
        </is>
      </c>
      <c r="F142" s="2" t="n">
        <v>0.01</v>
      </c>
      <c r="G142" s="2" t="n">
        <v>0.35</v>
      </c>
      <c r="H142" s="2" t="n">
        <v>1200</v>
      </c>
      <c r="I142" s="2" t="n">
        <v>999</v>
      </c>
      <c r="J142" s="2" t="n">
        <v>0.9</v>
      </c>
      <c r="K142" s="2" t="n">
        <v>0.7</v>
      </c>
      <c r="L142" s="2" t="n">
        <v>0.7</v>
      </c>
      <c r="M142" s="2" t="inlineStr">
        <is>
          <t>MediumRough</t>
        </is>
      </c>
      <c r="N142" s="22">
        <f>IF(G142&gt;0,F142/G142,0)</f>
        <v/>
      </c>
    </row>
    <row r="143">
      <c r="A143" s="2" t="inlineStr">
        <is>
          <t>B10</t>
        </is>
      </c>
      <c r="B143" s="2" t="inlineStr">
        <is>
          <t>WL_POLIMI-LC_FC300</t>
        </is>
      </c>
      <c r="C143" s="2" t="n">
        <v>1</v>
      </c>
      <c r="D143" s="2" t="inlineStr">
        <is>
          <t>dtu_MT__POLIMI_Intonaco interno-0.015</t>
        </is>
      </c>
      <c r="E143" s="2" t="inlineStr">
        <is>
          <t>dtu_MT__POLIMI_Intonaco interno</t>
        </is>
      </c>
      <c r="F143" s="2" t="n">
        <v>0.015</v>
      </c>
      <c r="G143" s="2" t="n">
        <v>0.35</v>
      </c>
      <c r="H143" s="2" t="n">
        <v>1200</v>
      </c>
      <c r="I143" s="2" t="n">
        <v>999</v>
      </c>
      <c r="J143" s="2" t="n">
        <v>0.9</v>
      </c>
      <c r="K143" s="2" t="n">
        <v>0.7</v>
      </c>
      <c r="L143" s="2" t="n">
        <v>0.7</v>
      </c>
      <c r="M143" s="2" t="inlineStr">
        <is>
          <t>MediumRough</t>
        </is>
      </c>
      <c r="N143" s="22">
        <f>IF(G143&gt;0,F143/G143,0)</f>
        <v/>
      </c>
    </row>
    <row r="144">
      <c r="A144" s="2" t="inlineStr">
        <is>
          <t>B10</t>
        </is>
      </c>
      <c r="B144" s="2" t="inlineStr">
        <is>
          <t>WL_POLIMI-LC_FC300</t>
        </is>
      </c>
      <c r="C144" s="2" t="n">
        <v>2</v>
      </c>
      <c r="D144" s="2" t="inlineStr">
        <is>
          <t>Calcestruzzo- gettato in opera-0.26</t>
        </is>
      </c>
      <c r="E144" s="2" t="inlineStr">
        <is>
          <t>Calcestruzzo- gettato in opera</t>
        </is>
      </c>
      <c r="F144" s="2" t="n">
        <v>0.26</v>
      </c>
      <c r="G144" s="2" t="n">
        <v>1.046</v>
      </c>
      <c r="H144" s="2" t="n">
        <v>2300</v>
      </c>
      <c r="I144" s="2" t="n">
        <v>657</v>
      </c>
      <c r="J144" s="2" t="n">
        <v>0.95</v>
      </c>
      <c r="K144" s="2" t="n">
        <v>0.7</v>
      </c>
      <c r="L144" s="2" t="n">
        <v>0.7</v>
      </c>
      <c r="M144" s="2" t="inlineStr">
        <is>
          <t>MediumRough</t>
        </is>
      </c>
      <c r="N144" s="22">
        <f>IF(G144&gt;0,F144/G144,0)</f>
        <v/>
      </c>
    </row>
    <row r="145">
      <c r="A145" s="2" t="inlineStr">
        <is>
          <t>B10</t>
        </is>
      </c>
      <c r="B145" s="2" t="inlineStr">
        <is>
          <t>WL_POLIMI-LC_FC300</t>
        </is>
      </c>
      <c r="C145" s="2" t="n">
        <v>3</v>
      </c>
      <c r="D145" s="2" t="inlineStr">
        <is>
          <t>dtu_MT__POLIMI_Intonaco interno-0.015</t>
        </is>
      </c>
      <c r="E145" s="2" t="inlineStr">
        <is>
          <t>dtu_MT__POLIMI_Intonaco interno</t>
        </is>
      </c>
      <c r="F145" s="2" t="n">
        <v>0.015</v>
      </c>
      <c r="G145" s="2" t="n">
        <v>0.35</v>
      </c>
      <c r="H145" s="2" t="n">
        <v>1200</v>
      </c>
      <c r="I145" s="2" t="n">
        <v>999</v>
      </c>
      <c r="J145" s="2" t="n">
        <v>0.9</v>
      </c>
      <c r="K145" s="2" t="n">
        <v>0.7</v>
      </c>
      <c r="L145" s="2" t="n">
        <v>0.7</v>
      </c>
      <c r="M145" s="2" t="inlineStr">
        <is>
          <t>MediumRough</t>
        </is>
      </c>
      <c r="N145" s="22">
        <f>IF(G145&gt;0,F145/G145,0)</f>
        <v/>
      </c>
    </row>
    <row r="146">
      <c r="A146" s="2" t="inlineStr">
        <is>
          <t>B10</t>
        </is>
      </c>
      <c r="B146" s="2" t="inlineStr">
        <is>
          <t>WL_POLIMI-LC_EW04</t>
        </is>
      </c>
      <c r="C146" s="2" t="n">
        <v>1</v>
      </c>
      <c r="D146" s="2" t="inlineStr">
        <is>
          <t>dtu_MT_POLIMI_Pannello in alluminio-0.005</t>
        </is>
      </c>
      <c r="E146" s="2" t="inlineStr">
        <is>
          <t>dtu_MT_POLIMI_Pannello in alluminio</t>
        </is>
      </c>
      <c r="F146" s="2" t="n">
        <v>0.005</v>
      </c>
      <c r="G146" s="2" t="n">
        <v>220</v>
      </c>
      <c r="H146" s="2" t="n">
        <v>2700</v>
      </c>
      <c r="I146" s="2" t="n">
        <v>896</v>
      </c>
      <c r="J146" s="2" t="n">
        <v>0.2</v>
      </c>
      <c r="K146" s="2" t="n">
        <v>0.7</v>
      </c>
      <c r="L146" s="2" t="n">
        <v>0.7</v>
      </c>
      <c r="M146" s="2" t="inlineStr">
        <is>
          <t>MediumRough</t>
        </is>
      </c>
      <c r="N146" s="22">
        <f>IF(G146&gt;0,F146/G146,0)</f>
        <v/>
      </c>
    </row>
    <row r="147">
      <c r="A147" s="2" t="inlineStr">
        <is>
          <t>B10</t>
        </is>
      </c>
      <c r="B147" s="2" t="inlineStr">
        <is>
          <t>WL_POLIMI-LC_EW04</t>
        </is>
      </c>
      <c r="C147" s="2" t="n">
        <v>2</v>
      </c>
      <c r="D147" s="2" t="inlineStr">
        <is>
          <t>dtu_MT_POLIMI_Camera d'aria fortemente ventilata-0.035</t>
        </is>
      </c>
      <c r="E147" s="2" t="inlineStr">
        <is>
          <t>dtu_MT_POLIMI_Camera d'aria fortemente ventilata</t>
        </is>
      </c>
      <c r="F147" s="2" t="n">
        <v>0.035</v>
      </c>
      <c r="G147" s="2" t="n">
        <v>0.285</v>
      </c>
      <c r="H147" s="2" t="n">
        <v>1</v>
      </c>
      <c r="I147" s="2" t="n">
        <v>1004</v>
      </c>
      <c r="J147" s="2" t="n">
        <v>0.7</v>
      </c>
      <c r="K147" s="2" t="n">
        <v>0.7</v>
      </c>
      <c r="L147" s="2" t="n">
        <v>0.7</v>
      </c>
      <c r="M147" s="2" t="inlineStr">
        <is>
          <t>MediumRough</t>
        </is>
      </c>
      <c r="N147" s="22">
        <f>IF(G147&gt;0,F147/G147,0)</f>
        <v/>
      </c>
    </row>
    <row r="148">
      <c r="A148" s="2" t="inlineStr">
        <is>
          <t>B10</t>
        </is>
      </c>
      <c r="B148" s="2" t="inlineStr">
        <is>
          <t>WL_POLIMI-LC_EW04</t>
        </is>
      </c>
      <c r="C148" s="2" t="n">
        <v>3</v>
      </c>
      <c r="D148" s="2" t="inlineStr">
        <is>
          <t>dtu_MT_POLIMI_Isolante rigido-0.1</t>
        </is>
      </c>
      <c r="E148" s="2" t="inlineStr">
        <is>
          <t>dtu_MT_POLIMI_Isolante rigido</t>
        </is>
      </c>
      <c r="F148" s="2" t="n">
        <v>0.1</v>
      </c>
      <c r="G148" s="2" t="n">
        <v>0.04</v>
      </c>
      <c r="H148" s="2" t="n">
        <v>30</v>
      </c>
      <c r="I148" s="2" t="n">
        <v>1452</v>
      </c>
      <c r="J148" s="2" t="n">
        <v>0.95</v>
      </c>
      <c r="K148" s="2" t="n">
        <v>0.7</v>
      </c>
      <c r="L148" s="2" t="n">
        <v>0.7</v>
      </c>
      <c r="M148" s="2" t="inlineStr">
        <is>
          <t>MediumRough</t>
        </is>
      </c>
      <c r="N148" s="22">
        <f>IF(G148&gt;0,F148/G148,0)</f>
        <v/>
      </c>
    </row>
    <row r="149">
      <c r="A149" s="2" t="inlineStr">
        <is>
          <t>B10</t>
        </is>
      </c>
      <c r="B149" s="2" t="inlineStr">
        <is>
          <t>WL_POLIMI-LC_EW04</t>
        </is>
      </c>
      <c r="C149" s="2" t="n">
        <v>4</v>
      </c>
      <c r="D149" s="2" t="inlineStr">
        <is>
          <t>dtu_MT_POLIMI_Membrana impermeabilizzante-0.005</t>
        </is>
      </c>
      <c r="E149" s="2" t="inlineStr">
        <is>
          <t>dtu_MT_POLIMI_Membrana impermeabilizzante</t>
        </is>
      </c>
      <c r="F149" s="2" t="n">
        <v>0.005</v>
      </c>
      <c r="G149" s="2" t="n">
        <v>0.23</v>
      </c>
      <c r="H149" s="2" t="n">
        <v>1100</v>
      </c>
      <c r="I149" s="2" t="n">
        <v>1000</v>
      </c>
      <c r="J149" s="2" t="n">
        <v>0.95</v>
      </c>
      <c r="K149" s="2" t="n">
        <v>0.7</v>
      </c>
      <c r="L149" s="2" t="n">
        <v>0.7</v>
      </c>
      <c r="M149" s="2" t="inlineStr">
        <is>
          <t>MediumRough</t>
        </is>
      </c>
      <c r="N149" s="22">
        <f>IF(G149&gt;0,F149/G149,0)</f>
        <v/>
      </c>
    </row>
    <row r="150">
      <c r="A150" s="2" t="inlineStr">
        <is>
          <t>B10</t>
        </is>
      </c>
      <c r="B150" s="2" t="inlineStr">
        <is>
          <t>WL_POLIMI-LC_EW04</t>
        </is>
      </c>
      <c r="C150" s="2" t="n">
        <v>5</v>
      </c>
      <c r="D150" s="2" t="inlineStr">
        <is>
          <t>dtu_MT_POLIMI_Camera d'aria debolmente ventilata-0.265</t>
        </is>
      </c>
      <c r="E150" s="2" t="inlineStr">
        <is>
          <t>dtu_MT_POLIMI_Camera d'aria debolmente ventilata</t>
        </is>
      </c>
      <c r="F150" s="2" t="n">
        <v>0.265</v>
      </c>
      <c r="G150" s="2" t="n">
        <v>1</v>
      </c>
      <c r="H150" s="2" t="n">
        <v>1</v>
      </c>
      <c r="I150" s="2" t="n">
        <v>1004</v>
      </c>
      <c r="J150" s="2" t="n">
        <v>0.7</v>
      </c>
      <c r="K150" s="2" t="n">
        <v>0.7</v>
      </c>
      <c r="L150" s="2" t="n">
        <v>0.7</v>
      </c>
      <c r="M150" s="2" t="inlineStr">
        <is>
          <t>MediumRough</t>
        </is>
      </c>
      <c r="N150" s="22">
        <f>IF(G150&gt;0,F150/G150,0)</f>
        <v/>
      </c>
    </row>
    <row r="151">
      <c r="A151" s="2" t="inlineStr">
        <is>
          <t>B10</t>
        </is>
      </c>
      <c r="B151" s="2" t="inlineStr">
        <is>
          <t>WL_POLIMI-LC_EW04</t>
        </is>
      </c>
      <c r="C151" s="2" t="n">
        <v>6</v>
      </c>
      <c r="D151" s="2" t="inlineStr">
        <is>
          <t>dtu_MT_POLIMI_CLS-0.425</t>
        </is>
      </c>
      <c r="E151" s="2" t="inlineStr">
        <is>
          <t>dtu_MT_POLIMI_CLS</t>
        </is>
      </c>
      <c r="F151" s="2" t="n">
        <v>0.425</v>
      </c>
      <c r="G151" s="2" t="n">
        <v>1.046</v>
      </c>
      <c r="H151" s="2" t="n">
        <v>2300</v>
      </c>
      <c r="I151" s="2" t="n">
        <v>657</v>
      </c>
      <c r="J151" s="2" t="n">
        <v>0.95</v>
      </c>
      <c r="K151" s="2" t="n">
        <v>0.7</v>
      </c>
      <c r="L151" s="2" t="n">
        <v>0.7</v>
      </c>
      <c r="M151" s="2" t="inlineStr">
        <is>
          <t>MediumRough</t>
        </is>
      </c>
      <c r="N151" s="22">
        <f>IF(G151&gt;0,F151/G151,0)</f>
        <v/>
      </c>
    </row>
    <row r="152">
      <c r="A152" s="2" t="inlineStr">
        <is>
          <t>B10</t>
        </is>
      </c>
      <c r="B152" s="2" t="inlineStr">
        <is>
          <t>WL_POLIMI-LC_EW04</t>
        </is>
      </c>
      <c r="C152" s="2" t="n">
        <v>7</v>
      </c>
      <c r="D152" s="2" t="inlineStr">
        <is>
          <t>dtu_MT__POLIMI_Intonaco interno-0.01</t>
        </is>
      </c>
      <c r="E152" s="2" t="inlineStr">
        <is>
          <t>dtu_MT__POLIMI_Intonaco interno</t>
        </is>
      </c>
      <c r="F152" s="2" t="n">
        <v>0.01</v>
      </c>
      <c r="G152" s="2" t="n">
        <v>0.35</v>
      </c>
      <c r="H152" s="2" t="n">
        <v>1200</v>
      </c>
      <c r="I152" s="2" t="n">
        <v>999</v>
      </c>
      <c r="J152" s="2" t="n">
        <v>0.9</v>
      </c>
      <c r="K152" s="2" t="n">
        <v>0.7</v>
      </c>
      <c r="L152" s="2" t="n">
        <v>0.7</v>
      </c>
      <c r="M152" s="2" t="inlineStr">
        <is>
          <t>MediumRough</t>
        </is>
      </c>
      <c r="N152" s="22">
        <f>IF(G152&gt;0,F152/G152,0)</f>
        <v/>
      </c>
    </row>
    <row r="153">
      <c r="A153" s="2" t="inlineStr">
        <is>
          <t>B10</t>
        </is>
      </c>
      <c r="B153" s="2" t="inlineStr">
        <is>
          <t>WL_POLIMI-LC_EW05</t>
        </is>
      </c>
      <c r="C153" s="2" t="n">
        <v>1</v>
      </c>
      <c r="D153" s="2" t="inlineStr">
        <is>
          <t>dtu_MT_POLIMI_Pannello in alluminio-0.005</t>
        </is>
      </c>
      <c r="E153" s="2" t="inlineStr">
        <is>
          <t>dtu_MT_POLIMI_Pannello in alluminio</t>
        </is>
      </c>
      <c r="F153" s="2" t="n">
        <v>0.005</v>
      </c>
      <c r="G153" s="2" t="n">
        <v>220</v>
      </c>
      <c r="H153" s="2" t="n">
        <v>2700</v>
      </c>
      <c r="I153" s="2" t="n">
        <v>896</v>
      </c>
      <c r="J153" s="2" t="n">
        <v>0.2</v>
      </c>
      <c r="K153" s="2" t="n">
        <v>0.7</v>
      </c>
      <c r="L153" s="2" t="n">
        <v>0.7</v>
      </c>
      <c r="M153" s="2" t="inlineStr">
        <is>
          <t>MediumRough</t>
        </is>
      </c>
      <c r="N153" s="22">
        <f>IF(G153&gt;0,F153/G153,0)</f>
        <v/>
      </c>
    </row>
    <row r="154">
      <c r="A154" s="2" t="inlineStr">
        <is>
          <t>B10</t>
        </is>
      </c>
      <c r="B154" s="2" t="inlineStr">
        <is>
          <t>WL_POLIMI-LC_EW05</t>
        </is>
      </c>
      <c r="C154" s="2" t="n">
        <v>2</v>
      </c>
      <c r="D154" s="2" t="inlineStr">
        <is>
          <t>dtu_MT_POLIMI_Camera d'aria fortemente ventilata-0.035</t>
        </is>
      </c>
      <c r="E154" s="2" t="inlineStr">
        <is>
          <t>dtu_MT_POLIMI_Camera d'aria fortemente ventilata</t>
        </is>
      </c>
      <c r="F154" s="2" t="n">
        <v>0.035</v>
      </c>
      <c r="G154" s="2" t="n">
        <v>0.285</v>
      </c>
      <c r="H154" s="2" t="n">
        <v>1</v>
      </c>
      <c r="I154" s="2" t="n">
        <v>1004</v>
      </c>
      <c r="J154" s="2" t="n">
        <v>0.7</v>
      </c>
      <c r="K154" s="2" t="n">
        <v>0.7</v>
      </c>
      <c r="L154" s="2" t="n">
        <v>0.7</v>
      </c>
      <c r="M154" s="2" t="inlineStr">
        <is>
          <t>MediumRough</t>
        </is>
      </c>
      <c r="N154" s="22">
        <f>IF(G154&gt;0,F154/G154,0)</f>
        <v/>
      </c>
    </row>
    <row r="155">
      <c r="A155" s="2" t="inlineStr">
        <is>
          <t>B10</t>
        </is>
      </c>
      <c r="B155" s="2" t="inlineStr">
        <is>
          <t>WL_POLIMI-LC_EW05</t>
        </is>
      </c>
      <c r="C155" s="2" t="n">
        <v>3</v>
      </c>
      <c r="D155" s="2" t="inlineStr">
        <is>
          <t>dtu_MT_POLIMI_Isolante rigido-0.1</t>
        </is>
      </c>
      <c r="E155" s="2" t="inlineStr">
        <is>
          <t>dtu_MT_POLIMI_Isolante rigido</t>
        </is>
      </c>
      <c r="F155" s="2" t="n">
        <v>0.1</v>
      </c>
      <c r="G155" s="2" t="n">
        <v>0.04</v>
      </c>
      <c r="H155" s="2" t="n">
        <v>30</v>
      </c>
      <c r="I155" s="2" t="n">
        <v>1452</v>
      </c>
      <c r="J155" s="2" t="n">
        <v>0.95</v>
      </c>
      <c r="K155" s="2" t="n">
        <v>0.7</v>
      </c>
      <c r="L155" s="2" t="n">
        <v>0.7</v>
      </c>
      <c r="M155" s="2" t="inlineStr">
        <is>
          <t>MediumRough</t>
        </is>
      </c>
      <c r="N155" s="22">
        <f>IF(G155&gt;0,F155/G155,0)</f>
        <v/>
      </c>
    </row>
    <row r="156">
      <c r="A156" s="2" t="inlineStr">
        <is>
          <t>B10</t>
        </is>
      </c>
      <c r="B156" s="2" t="inlineStr">
        <is>
          <t>WL_POLIMI-LC_EW05</t>
        </is>
      </c>
      <c r="C156" s="2" t="n">
        <v>4</v>
      </c>
      <c r="D156" s="2" t="inlineStr">
        <is>
          <t>dtu_MT_POLIMI_Membrana impermeabilizzante-0.005</t>
        </is>
      </c>
      <c r="E156" s="2" t="inlineStr">
        <is>
          <t>dtu_MT_POLIMI_Membrana impermeabilizzante</t>
        </is>
      </c>
      <c r="F156" s="2" t="n">
        <v>0.005</v>
      </c>
      <c r="G156" s="2" t="n">
        <v>0.23</v>
      </c>
      <c r="H156" s="2" t="n">
        <v>1100</v>
      </c>
      <c r="I156" s="2" t="n">
        <v>1000</v>
      </c>
      <c r="J156" s="2" t="n">
        <v>0.95</v>
      </c>
      <c r="K156" s="2" t="n">
        <v>0.7</v>
      </c>
      <c r="L156" s="2" t="n">
        <v>0.7</v>
      </c>
      <c r="M156" s="2" t="inlineStr">
        <is>
          <t>MediumRough</t>
        </is>
      </c>
      <c r="N156" s="22">
        <f>IF(G156&gt;0,F156/G156,0)</f>
        <v/>
      </c>
    </row>
    <row r="157">
      <c r="A157" s="2" t="inlineStr">
        <is>
          <t>B10</t>
        </is>
      </c>
      <c r="B157" s="2" t="inlineStr">
        <is>
          <t>WL_POLIMI-LC_EW05</t>
        </is>
      </c>
      <c r="C157" s="2" t="n">
        <v>5</v>
      </c>
      <c r="D157" s="2" t="inlineStr">
        <is>
          <t>dtu_MT_POLIMI_Camera d'aria debolmente ventilata-0.265</t>
        </is>
      </c>
      <c r="E157" s="2" t="inlineStr">
        <is>
          <t>dtu_MT_POLIMI_Camera d'aria debolmente ventilata</t>
        </is>
      </c>
      <c r="F157" s="2" t="n">
        <v>0.265</v>
      </c>
      <c r="G157" s="2" t="n">
        <v>1</v>
      </c>
      <c r="H157" s="2" t="n">
        <v>1</v>
      </c>
      <c r="I157" s="2" t="n">
        <v>1004</v>
      </c>
      <c r="J157" s="2" t="n">
        <v>0.7</v>
      </c>
      <c r="K157" s="2" t="n">
        <v>0.7</v>
      </c>
      <c r="L157" s="2" t="n">
        <v>0.7</v>
      </c>
      <c r="M157" s="2" t="inlineStr">
        <is>
          <t>MediumRough</t>
        </is>
      </c>
      <c r="N157" s="22">
        <f>IF(G157&gt;0,F157/G157,0)</f>
        <v/>
      </c>
    </row>
    <row r="158">
      <c r="A158" s="2" t="inlineStr">
        <is>
          <t>B10</t>
        </is>
      </c>
      <c r="B158" s="2" t="inlineStr">
        <is>
          <t>WL_POLIMI-LC_EW05</t>
        </is>
      </c>
      <c r="C158" s="2" t="n">
        <v>6</v>
      </c>
      <c r="D158" s="2" t="inlineStr">
        <is>
          <t>dtu_MT_POLIMI_Camera d'aria fortemente ventilata-0.425</t>
        </is>
      </c>
      <c r="E158" s="2" t="inlineStr">
        <is>
          <t>dtu_MT_POLIMI_Camera d'aria fortemente ventilata</t>
        </is>
      </c>
      <c r="F158" s="2" t="n">
        <v>0.425</v>
      </c>
      <c r="G158" s="2" t="n">
        <v>0.285</v>
      </c>
      <c r="H158" s="2" t="n">
        <v>1</v>
      </c>
      <c r="I158" s="2" t="n">
        <v>1004</v>
      </c>
      <c r="J158" s="2" t="n">
        <v>0.7</v>
      </c>
      <c r="K158" s="2" t="n">
        <v>0.7</v>
      </c>
      <c r="L158" s="2" t="n">
        <v>0.7</v>
      </c>
      <c r="M158" s="2" t="inlineStr">
        <is>
          <t>MediumRough</t>
        </is>
      </c>
      <c r="N158" s="22">
        <f>IF(G158&gt;0,F158/G158,0)</f>
        <v/>
      </c>
    </row>
    <row r="159">
      <c r="A159" s="2" t="inlineStr">
        <is>
          <t>B10</t>
        </is>
      </c>
      <c r="B159" s="2" t="inlineStr">
        <is>
          <t>WL_POLIMI-LC_EW05</t>
        </is>
      </c>
      <c r="C159" s="2" t="n">
        <v>7</v>
      </c>
      <c r="D159" s="2" t="inlineStr">
        <is>
          <t>dtu_MT_POLIMI_Isolante morbido-0.065</t>
        </is>
      </c>
      <c r="E159" s="2" t="inlineStr">
        <is>
          <t>dtu_MT_POLIMI_Isolante morbido</t>
        </is>
      </c>
      <c r="F159" s="2" t="n">
        <v>0.065</v>
      </c>
      <c r="G159" s="2" t="n">
        <v>0.04</v>
      </c>
      <c r="H159" s="2" t="n">
        <v>80</v>
      </c>
      <c r="I159" s="2" t="n">
        <v>1028</v>
      </c>
      <c r="J159" s="2" t="n">
        <v>0.95</v>
      </c>
      <c r="K159" s="2" t="n">
        <v>0.7</v>
      </c>
      <c r="L159" s="2" t="n">
        <v>0.7</v>
      </c>
      <c r="M159" s="2" t="inlineStr">
        <is>
          <t>MediumRough</t>
        </is>
      </c>
      <c r="N159" s="22">
        <f>IF(G159&gt;0,F159/G159,0)</f>
        <v/>
      </c>
    </row>
    <row r="160">
      <c r="A160" s="2" t="inlineStr">
        <is>
          <t>B10</t>
        </is>
      </c>
      <c r="B160" s="2" t="inlineStr">
        <is>
          <t>WL_POLIMI-LC_EW05</t>
        </is>
      </c>
      <c r="C160" s="2" t="n">
        <v>8</v>
      </c>
      <c r="D160" s="2" t="inlineStr">
        <is>
          <t>dtu_MT_POLIMI_Gypsum Board-0.025</t>
        </is>
      </c>
      <c r="E160" s="2" t="inlineStr">
        <is>
          <t>dtu_MT_POLIMI_Gypsum Board</t>
        </is>
      </c>
      <c r="F160" s="2" t="n">
        <v>0.025</v>
      </c>
      <c r="G160" s="2" t="n">
        <v>0.21</v>
      </c>
      <c r="H160" s="2" t="n">
        <v>900</v>
      </c>
      <c r="I160" s="2" t="n">
        <v>1000</v>
      </c>
      <c r="J160" s="2" t="n">
        <v>0.9</v>
      </c>
      <c r="K160" s="2" t="n">
        <v>0.7</v>
      </c>
      <c r="L160" s="2" t="n">
        <v>0.7</v>
      </c>
      <c r="M160" s="2" t="inlineStr">
        <is>
          <t>MediumRough</t>
        </is>
      </c>
      <c r="N160" s="22">
        <f>IF(G160&gt;0,F160/G160,0)</f>
        <v/>
      </c>
    </row>
    <row r="161">
      <c r="A161" s="2" t="inlineStr">
        <is>
          <t>B10</t>
        </is>
      </c>
      <c r="B161" s="2" t="inlineStr">
        <is>
          <t>WL_POLIMI-LC_EW05</t>
        </is>
      </c>
      <c r="C161" s="2" t="n">
        <v>9</v>
      </c>
      <c r="D161" s="2" t="inlineStr">
        <is>
          <t>dtu_MT__POLIMI_Intonaco interno-0.01</t>
        </is>
      </c>
      <c r="E161" s="2" t="inlineStr">
        <is>
          <t>dtu_MT__POLIMI_Intonaco interno</t>
        </is>
      </c>
      <c r="F161" s="2" t="n">
        <v>0.01</v>
      </c>
      <c r="G161" s="2" t="n">
        <v>0.35</v>
      </c>
      <c r="H161" s="2" t="n">
        <v>1200</v>
      </c>
      <c r="I161" s="2" t="n">
        <v>999</v>
      </c>
      <c r="J161" s="2" t="n">
        <v>0.9</v>
      </c>
      <c r="K161" s="2" t="n">
        <v>0.7</v>
      </c>
      <c r="L161" s="2" t="n">
        <v>0.7</v>
      </c>
      <c r="M161" s="2" t="inlineStr">
        <is>
          <t>MediumRough</t>
        </is>
      </c>
      <c r="N161" s="22">
        <f>IF(G161&gt;0,F161/G161,0)</f>
        <v/>
      </c>
    </row>
    <row r="162">
      <c r="A162" s="2" t="inlineStr">
        <is>
          <t>B10</t>
        </is>
      </c>
      <c r="B162" s="2" t="inlineStr">
        <is>
          <t>WL_POLIMI-LC_IW02</t>
        </is>
      </c>
      <c r="C162" s="2" t="n">
        <v>1</v>
      </c>
      <c r="D162" s="2" t="inlineStr">
        <is>
          <t>dtu_MT__POLIMI_Intonaco interno-0.01</t>
        </is>
      </c>
      <c r="E162" s="2" t="inlineStr">
        <is>
          <t>dtu_MT__POLIMI_Intonaco interno</t>
        </is>
      </c>
      <c r="F162" s="2" t="n">
        <v>0.01</v>
      </c>
      <c r="G162" s="2" t="n">
        <v>0.35</v>
      </c>
      <c r="H162" s="2" t="n">
        <v>1200</v>
      </c>
      <c r="I162" s="2" t="n">
        <v>999</v>
      </c>
      <c r="J162" s="2" t="n">
        <v>0.9</v>
      </c>
      <c r="K162" s="2" t="n">
        <v>0.7</v>
      </c>
      <c r="L162" s="2" t="n">
        <v>0.7</v>
      </c>
      <c r="M162" s="2" t="inlineStr">
        <is>
          <t>MediumRough</t>
        </is>
      </c>
      <c r="N162" s="22">
        <f>IF(G162&gt;0,F162/G162,0)</f>
        <v/>
      </c>
    </row>
    <row r="163">
      <c r="A163" s="2" t="inlineStr">
        <is>
          <t>B10</t>
        </is>
      </c>
      <c r="B163" s="2" t="inlineStr">
        <is>
          <t>WL_POLIMI-LC_IW02</t>
        </is>
      </c>
      <c r="C163" s="2" t="n">
        <v>2</v>
      </c>
      <c r="D163" s="2" t="inlineStr">
        <is>
          <t>dtu_MT_POLIMI_Gypsum Board-0.025</t>
        </is>
      </c>
      <c r="E163" s="2" t="inlineStr">
        <is>
          <t>dtu_MT_POLIMI_Gypsum Board</t>
        </is>
      </c>
      <c r="F163" s="2" t="n">
        <v>0.025</v>
      </c>
      <c r="G163" s="2" t="n">
        <v>0.21</v>
      </c>
      <c r="H163" s="2" t="n">
        <v>900</v>
      </c>
      <c r="I163" s="2" t="n">
        <v>1000</v>
      </c>
      <c r="J163" s="2" t="n">
        <v>0.9</v>
      </c>
      <c r="K163" s="2" t="n">
        <v>0.7</v>
      </c>
      <c r="L163" s="2" t="n">
        <v>0.7</v>
      </c>
      <c r="M163" s="2" t="inlineStr">
        <is>
          <t>MediumRough</t>
        </is>
      </c>
      <c r="N163" s="22">
        <f>IF(G163&gt;0,F163/G163,0)</f>
        <v/>
      </c>
    </row>
    <row r="164">
      <c r="A164" s="2" t="inlineStr">
        <is>
          <t>B10</t>
        </is>
      </c>
      <c r="B164" s="2" t="inlineStr">
        <is>
          <t>WL_POLIMI-LC_IW02</t>
        </is>
      </c>
      <c r="C164" s="2" t="n">
        <v>3</v>
      </c>
      <c r="D164" s="2" t="inlineStr">
        <is>
          <t>dtu_MT_POLIMI_Isolante morbido-0.04</t>
        </is>
      </c>
      <c r="E164" s="2" t="inlineStr">
        <is>
          <t>dtu_MT_POLIMI_Isolante morbido</t>
        </is>
      </c>
      <c r="F164" s="2" t="n">
        <v>0.04</v>
      </c>
      <c r="G164" s="2" t="n">
        <v>0.04</v>
      </c>
      <c r="H164" s="2" t="n">
        <v>80</v>
      </c>
      <c r="I164" s="2" t="n">
        <v>1028</v>
      </c>
      <c r="J164" s="2" t="n">
        <v>0.95</v>
      </c>
      <c r="K164" s="2" t="n">
        <v>0.7</v>
      </c>
      <c r="L164" s="2" t="n">
        <v>0.7</v>
      </c>
      <c r="M164" s="2" t="inlineStr">
        <is>
          <t>MediumRough</t>
        </is>
      </c>
      <c r="N164" s="22">
        <f>IF(G164&gt;0,F164/G164,0)</f>
        <v/>
      </c>
    </row>
    <row r="165">
      <c r="A165" s="2" t="inlineStr">
        <is>
          <t>B10</t>
        </is>
      </c>
      <c r="B165" s="2" t="inlineStr">
        <is>
          <t>WL_POLIMI-LC_IW02</t>
        </is>
      </c>
      <c r="C165" s="2" t="n">
        <v>4</v>
      </c>
      <c r="D165" s="2" t="inlineStr">
        <is>
          <t>dtu_MT_POLIMI_Camera d'aria non ventilata-0.065</t>
        </is>
      </c>
      <c r="E165" s="2" t="inlineStr">
        <is>
          <t>dtu_MT_POLIMI_Camera d'aria non ventilata</t>
        </is>
      </c>
      <c r="F165" s="2" t="n">
        <v>0.065</v>
      </c>
      <c r="G165" s="2" t="n">
        <v>1</v>
      </c>
      <c r="H165" s="2" t="n">
        <v>1</v>
      </c>
      <c r="I165" s="2" t="n">
        <v>1003</v>
      </c>
      <c r="J165" s="2" t="n">
        <v>0.7</v>
      </c>
      <c r="K165" s="2" t="n">
        <v>0.7</v>
      </c>
      <c r="L165" s="2" t="n">
        <v>0.7</v>
      </c>
      <c r="M165" s="2" t="inlineStr">
        <is>
          <t>MediumRough</t>
        </is>
      </c>
      <c r="N165" s="22">
        <f>IF(G165&gt;0,F165/G165,0)</f>
        <v/>
      </c>
    </row>
    <row r="166">
      <c r="A166" s="2" t="inlineStr">
        <is>
          <t>B10</t>
        </is>
      </c>
      <c r="B166" s="2" t="inlineStr">
        <is>
          <t>WL_POLIMI-LC_IW02</t>
        </is>
      </c>
      <c r="C166" s="2" t="n">
        <v>5</v>
      </c>
      <c r="D166" s="2" t="inlineStr">
        <is>
          <t>dtu_MT_POLIMI_Isolante morbido-0.04</t>
        </is>
      </c>
      <c r="E166" s="2" t="inlineStr">
        <is>
          <t>dtu_MT_POLIMI_Isolante morbido</t>
        </is>
      </c>
      <c r="F166" s="2" t="n">
        <v>0.04</v>
      </c>
      <c r="G166" s="2" t="n">
        <v>0.04</v>
      </c>
      <c r="H166" s="2" t="n">
        <v>80</v>
      </c>
      <c r="I166" s="2" t="n">
        <v>1028</v>
      </c>
      <c r="J166" s="2" t="n">
        <v>0.95</v>
      </c>
      <c r="K166" s="2" t="n">
        <v>0.7</v>
      </c>
      <c r="L166" s="2" t="n">
        <v>0.7</v>
      </c>
      <c r="M166" s="2" t="inlineStr">
        <is>
          <t>MediumRough</t>
        </is>
      </c>
      <c r="N166" s="22">
        <f>IF(G166&gt;0,F166/G166,0)</f>
        <v/>
      </c>
    </row>
    <row r="167">
      <c r="A167" s="2" t="inlineStr">
        <is>
          <t>B10</t>
        </is>
      </c>
      <c r="B167" s="2" t="inlineStr">
        <is>
          <t>WL_POLIMI-LC_IW02</t>
        </is>
      </c>
      <c r="C167" s="2" t="n">
        <v>6</v>
      </c>
      <c r="D167" s="2" t="inlineStr">
        <is>
          <t>dtu_MT_POLIMI_Gypsum Board-0.025</t>
        </is>
      </c>
      <c r="E167" s="2" t="inlineStr">
        <is>
          <t>dtu_MT_POLIMI_Gypsum Board</t>
        </is>
      </c>
      <c r="F167" s="2" t="n">
        <v>0.025</v>
      </c>
      <c r="G167" s="2" t="n">
        <v>0.21</v>
      </c>
      <c r="H167" s="2" t="n">
        <v>900</v>
      </c>
      <c r="I167" s="2" t="n">
        <v>1000</v>
      </c>
      <c r="J167" s="2" t="n">
        <v>0.9</v>
      </c>
      <c r="K167" s="2" t="n">
        <v>0.7</v>
      </c>
      <c r="L167" s="2" t="n">
        <v>0.7</v>
      </c>
      <c r="M167" s="2" t="inlineStr">
        <is>
          <t>MediumRough</t>
        </is>
      </c>
      <c r="N167" s="22">
        <f>IF(G167&gt;0,F167/G167,0)</f>
        <v/>
      </c>
    </row>
    <row r="168">
      <c r="A168" s="2" t="inlineStr">
        <is>
          <t>B10</t>
        </is>
      </c>
      <c r="B168" s="2" t="inlineStr">
        <is>
          <t>WL_POLIMI-LC_IW02</t>
        </is>
      </c>
      <c r="C168" s="2" t="n">
        <v>7</v>
      </c>
      <c r="D168" s="2" t="inlineStr">
        <is>
          <t>dtu_MT_POLIMI_Intonaco gesso puro-0.01</t>
        </is>
      </c>
      <c r="E168" s="2" t="inlineStr">
        <is>
          <t>dtu_MT_POLIMI_Intonaco gesso puro</t>
        </is>
      </c>
      <c r="F168" s="2" t="n">
        <v>0.01</v>
      </c>
      <c r="G168" s="2" t="n">
        <v>0.35</v>
      </c>
      <c r="H168" s="2" t="n">
        <v>1200</v>
      </c>
      <c r="I168" s="2" t="n">
        <v>999</v>
      </c>
      <c r="J168" s="2" t="n">
        <v>0.9</v>
      </c>
      <c r="K168" s="2" t="n">
        <v>0.7</v>
      </c>
      <c r="L168" s="2" t="n">
        <v>0.7</v>
      </c>
      <c r="M168" s="2" t="inlineStr">
        <is>
          <t>MediumRough</t>
        </is>
      </c>
      <c r="N168" s="22">
        <f>IF(G168&gt;0,F168/G168,0)</f>
        <v/>
      </c>
    </row>
    <row r="169">
      <c r="A169" s="2" t="inlineStr">
        <is>
          <t>B10</t>
        </is>
      </c>
      <c r="B169" s="2" t="inlineStr">
        <is>
          <t>WL_POLIMI-LC_IW03</t>
        </is>
      </c>
      <c r="C169" s="2" t="n">
        <v>1</v>
      </c>
      <c r="D169" s="2" t="inlineStr">
        <is>
          <t>dtu_MT__POLIMI_Intonaco interno-0.01</t>
        </is>
      </c>
      <c r="E169" s="2" t="inlineStr">
        <is>
          <t>dtu_MT__POLIMI_Intonaco interno</t>
        </is>
      </c>
      <c r="F169" s="2" t="n">
        <v>0.01</v>
      </c>
      <c r="G169" s="2" t="n">
        <v>0.35</v>
      </c>
      <c r="H169" s="2" t="n">
        <v>1200</v>
      </c>
      <c r="I169" s="2" t="n">
        <v>999</v>
      </c>
      <c r="J169" s="2" t="n">
        <v>0.9</v>
      </c>
      <c r="K169" s="2" t="n">
        <v>0.7</v>
      </c>
      <c r="L169" s="2" t="n">
        <v>0.7</v>
      </c>
      <c r="M169" s="2" t="inlineStr">
        <is>
          <t>MediumRough</t>
        </is>
      </c>
      <c r="N169" s="22">
        <f>IF(G169&gt;0,F169/G169,0)</f>
        <v/>
      </c>
    </row>
    <row r="170">
      <c r="A170" s="2" t="inlineStr">
        <is>
          <t>B10</t>
        </is>
      </c>
      <c r="B170" s="2" t="inlineStr">
        <is>
          <t>WL_POLIMI-LC_IW03</t>
        </is>
      </c>
      <c r="C170" s="2" t="n">
        <v>2</v>
      </c>
      <c r="D170" s="2" t="inlineStr">
        <is>
          <t>dtu_MT_POLIMI_Gypsum Board-0.025</t>
        </is>
      </c>
      <c r="E170" s="2" t="inlineStr">
        <is>
          <t>dtu_MT_POLIMI_Gypsum Board</t>
        </is>
      </c>
      <c r="F170" s="2" t="n">
        <v>0.025</v>
      </c>
      <c r="G170" s="2" t="n">
        <v>0.21</v>
      </c>
      <c r="H170" s="2" t="n">
        <v>900</v>
      </c>
      <c r="I170" s="2" t="n">
        <v>1000</v>
      </c>
      <c r="J170" s="2" t="n">
        <v>0.9</v>
      </c>
      <c r="K170" s="2" t="n">
        <v>0.7</v>
      </c>
      <c r="L170" s="2" t="n">
        <v>0.7</v>
      </c>
      <c r="M170" s="2" t="inlineStr">
        <is>
          <t>MediumRough</t>
        </is>
      </c>
      <c r="N170" s="22">
        <f>IF(G170&gt;0,F170/G170,0)</f>
        <v/>
      </c>
    </row>
    <row r="171">
      <c r="A171" s="2" t="inlineStr">
        <is>
          <t>B10</t>
        </is>
      </c>
      <c r="B171" s="2" t="inlineStr">
        <is>
          <t>WL_POLIMI-LC_IW03</t>
        </is>
      </c>
      <c r="C171" s="2" t="n">
        <v>3</v>
      </c>
      <c r="D171" s="2" t="inlineStr">
        <is>
          <t>dtu_MT_POLIMI_Isolante morbido-0.065</t>
        </is>
      </c>
      <c r="E171" s="2" t="inlineStr">
        <is>
          <t>dtu_MT_POLIMI_Isolante morbido</t>
        </is>
      </c>
      <c r="F171" s="2" t="n">
        <v>0.065</v>
      </c>
      <c r="G171" s="2" t="n">
        <v>0.04</v>
      </c>
      <c r="H171" s="2" t="n">
        <v>80</v>
      </c>
      <c r="I171" s="2" t="n">
        <v>1028</v>
      </c>
      <c r="J171" s="2" t="n">
        <v>0.95</v>
      </c>
      <c r="K171" s="2" t="n">
        <v>0.7</v>
      </c>
      <c r="L171" s="2" t="n">
        <v>0.7</v>
      </c>
      <c r="M171" s="2" t="inlineStr">
        <is>
          <t>MediumRough</t>
        </is>
      </c>
      <c r="N171" s="22">
        <f>IF(G171&gt;0,F171/G171,0)</f>
        <v/>
      </c>
    </row>
    <row r="172">
      <c r="A172" s="2" t="inlineStr">
        <is>
          <t>B10</t>
        </is>
      </c>
      <c r="B172" s="2" t="inlineStr">
        <is>
          <t>WL_POLIMI-LC_IW04</t>
        </is>
      </c>
      <c r="C172" s="2" t="n">
        <v>1</v>
      </c>
      <c r="D172" s="2" t="inlineStr">
        <is>
          <t>dtu_MT__POLIMI_Intonaco interno-0.01</t>
        </is>
      </c>
      <c r="E172" s="2" t="inlineStr">
        <is>
          <t>dtu_MT__POLIMI_Intonaco interno</t>
        </is>
      </c>
      <c r="F172" s="2" t="n">
        <v>0.01</v>
      </c>
      <c r="G172" s="2" t="n">
        <v>0.35</v>
      </c>
      <c r="H172" s="2" t="n">
        <v>1200</v>
      </c>
      <c r="I172" s="2" t="n">
        <v>999</v>
      </c>
      <c r="J172" s="2" t="n">
        <v>0.9</v>
      </c>
      <c r="K172" s="2" t="n">
        <v>0.7</v>
      </c>
      <c r="L172" s="2" t="n">
        <v>0.7</v>
      </c>
      <c r="M172" s="2" t="inlineStr">
        <is>
          <t>MediumRough</t>
        </is>
      </c>
      <c r="N172" s="22">
        <f>IF(G172&gt;0,F172/G172,0)</f>
        <v/>
      </c>
    </row>
    <row r="173">
      <c r="A173" s="2" t="inlineStr">
        <is>
          <t>B10</t>
        </is>
      </c>
      <c r="B173" s="2" t="inlineStr">
        <is>
          <t>WL_POLIMI-LC_IW04</t>
        </is>
      </c>
      <c r="C173" s="2" t="n">
        <v>2</v>
      </c>
      <c r="D173" s="2" t="inlineStr">
        <is>
          <t>dtu_MT_POLIMI_Gypsum Board-0.025</t>
        </is>
      </c>
      <c r="E173" s="2" t="inlineStr">
        <is>
          <t>dtu_MT_POLIMI_Gypsum Board</t>
        </is>
      </c>
      <c r="F173" s="2" t="n">
        <v>0.025</v>
      </c>
      <c r="G173" s="2" t="n">
        <v>0.21</v>
      </c>
      <c r="H173" s="2" t="n">
        <v>900</v>
      </c>
      <c r="I173" s="2" t="n">
        <v>1000</v>
      </c>
      <c r="J173" s="2" t="n">
        <v>0.9</v>
      </c>
      <c r="K173" s="2" t="n">
        <v>0.7</v>
      </c>
      <c r="L173" s="2" t="n">
        <v>0.7</v>
      </c>
      <c r="M173" s="2" t="inlineStr">
        <is>
          <t>MediumRough</t>
        </is>
      </c>
      <c r="N173" s="22">
        <f>IF(G173&gt;0,F173/G173,0)</f>
        <v/>
      </c>
    </row>
    <row r="174">
      <c r="A174" s="2" t="inlineStr">
        <is>
          <t>B10</t>
        </is>
      </c>
      <c r="B174" s="2" t="inlineStr">
        <is>
          <t>WL_POLIMI-LC_IW04</t>
        </is>
      </c>
      <c r="C174" s="2" t="n">
        <v>3</v>
      </c>
      <c r="D174" s="2" t="inlineStr">
        <is>
          <t>dtu_MT_POLIMI_Isolante morbido-0.04</t>
        </is>
      </c>
      <c r="E174" s="2" t="inlineStr">
        <is>
          <t>dtu_MT_POLIMI_Isolante morbido</t>
        </is>
      </c>
      <c r="F174" s="2" t="n">
        <v>0.04</v>
      </c>
      <c r="G174" s="2" t="n">
        <v>0.04</v>
      </c>
      <c r="H174" s="2" t="n">
        <v>80</v>
      </c>
      <c r="I174" s="2" t="n">
        <v>1028</v>
      </c>
      <c r="J174" s="2" t="n">
        <v>0.95</v>
      </c>
      <c r="K174" s="2" t="n">
        <v>0.7</v>
      </c>
      <c r="L174" s="2" t="n">
        <v>0.7</v>
      </c>
      <c r="M174" s="2" t="inlineStr">
        <is>
          <t>MediumRough</t>
        </is>
      </c>
      <c r="N174" s="22">
        <f>IF(G174&gt;0,F174/G174,0)</f>
        <v/>
      </c>
    </row>
    <row r="175">
      <c r="A175" s="2" t="inlineStr">
        <is>
          <t>B10</t>
        </is>
      </c>
      <c r="B175" s="2" t="inlineStr">
        <is>
          <t>WL_POLIMI-LC_IW04</t>
        </is>
      </c>
      <c r="C175" s="2" t="n">
        <v>4</v>
      </c>
      <c r="D175" s="2" t="inlineStr">
        <is>
          <t>dtu_MT_POLIMI_Camera d'aria non ventilata-0.065</t>
        </is>
      </c>
      <c r="E175" s="2" t="inlineStr">
        <is>
          <t>dtu_MT_POLIMI_Camera d'aria non ventilata</t>
        </is>
      </c>
      <c r="F175" s="2" t="n">
        <v>0.065</v>
      </c>
      <c r="G175" s="2" t="n">
        <v>1</v>
      </c>
      <c r="H175" s="2" t="n">
        <v>1</v>
      </c>
      <c r="I175" s="2" t="n">
        <v>1003</v>
      </c>
      <c r="J175" s="2" t="n">
        <v>0.7</v>
      </c>
      <c r="K175" s="2" t="n">
        <v>0.7</v>
      </c>
      <c r="L175" s="2" t="n">
        <v>0.7</v>
      </c>
      <c r="M175" s="2" t="inlineStr">
        <is>
          <t>MediumRough</t>
        </is>
      </c>
      <c r="N175" s="22">
        <f>IF(G175&gt;0,F175/G175,0)</f>
        <v/>
      </c>
    </row>
    <row r="176">
      <c r="A176" s="2" t="inlineStr">
        <is>
          <t>B10</t>
        </is>
      </c>
      <c r="B176" s="2" t="inlineStr">
        <is>
          <t>WL_POLIMI-LC_IW04</t>
        </is>
      </c>
      <c r="C176" s="2" t="n">
        <v>5</v>
      </c>
      <c r="D176" s="2" t="inlineStr">
        <is>
          <t>dtu_MT_POLIMI_Isolante morbido-0.04</t>
        </is>
      </c>
      <c r="E176" s="2" t="inlineStr">
        <is>
          <t>dtu_MT_POLIMI_Isolante morbido</t>
        </is>
      </c>
      <c r="F176" s="2" t="n">
        <v>0.04</v>
      </c>
      <c r="G176" s="2" t="n">
        <v>0.04</v>
      </c>
      <c r="H176" s="2" t="n">
        <v>80</v>
      </c>
      <c r="I176" s="2" t="n">
        <v>1028</v>
      </c>
      <c r="J176" s="2" t="n">
        <v>0.95</v>
      </c>
      <c r="K176" s="2" t="n">
        <v>0.7</v>
      </c>
      <c r="L176" s="2" t="n">
        <v>0.7</v>
      </c>
      <c r="M176" s="2" t="inlineStr">
        <is>
          <t>MediumRough</t>
        </is>
      </c>
      <c r="N176" s="22">
        <f>IF(G176&gt;0,F176/G176,0)</f>
        <v/>
      </c>
    </row>
    <row r="177">
      <c r="A177" s="2" t="inlineStr">
        <is>
          <t>B10</t>
        </is>
      </c>
      <c r="B177" s="2" t="inlineStr">
        <is>
          <t>WL_POLIMI-LC_IW04</t>
        </is>
      </c>
      <c r="C177" s="2" t="n">
        <v>6</v>
      </c>
      <c r="D177" s="2" t="inlineStr">
        <is>
          <t>dtu_MT_POLIMI_Gypsum Board-0.025</t>
        </is>
      </c>
      <c r="E177" s="2" t="inlineStr">
        <is>
          <t>dtu_MT_POLIMI_Gypsum Board</t>
        </is>
      </c>
      <c r="F177" s="2" t="n">
        <v>0.025</v>
      </c>
      <c r="G177" s="2" t="n">
        <v>0.21</v>
      </c>
      <c r="H177" s="2" t="n">
        <v>900</v>
      </c>
      <c r="I177" s="2" t="n">
        <v>1000</v>
      </c>
      <c r="J177" s="2" t="n">
        <v>0.9</v>
      </c>
      <c r="K177" s="2" t="n">
        <v>0.7</v>
      </c>
      <c r="L177" s="2" t="n">
        <v>0.7</v>
      </c>
      <c r="M177" s="2" t="inlineStr">
        <is>
          <t>MediumRough</t>
        </is>
      </c>
      <c r="N177" s="22">
        <f>IF(G177&gt;0,F177/G177,0)</f>
        <v/>
      </c>
    </row>
    <row r="178">
      <c r="A178" s="2" t="inlineStr">
        <is>
          <t>B10</t>
        </is>
      </c>
      <c r="B178" s="2" t="inlineStr">
        <is>
          <t>WL_POLIMI-LC_IW04</t>
        </is>
      </c>
      <c r="C178" s="2" t="n">
        <v>7</v>
      </c>
      <c r="D178" s="2" t="inlineStr">
        <is>
          <t>dtu_MT_POLIMI_Intonaco gesso puro-0.01</t>
        </is>
      </c>
      <c r="E178" s="2" t="inlineStr">
        <is>
          <t>dtu_MT_POLIMI_Intonaco gesso puro</t>
        </is>
      </c>
      <c r="F178" s="2" t="n">
        <v>0.01</v>
      </c>
      <c r="G178" s="2" t="n">
        <v>0.35</v>
      </c>
      <c r="H178" s="2" t="n">
        <v>1200</v>
      </c>
      <c r="I178" s="2" t="n">
        <v>999</v>
      </c>
      <c r="J178" s="2" t="n">
        <v>0.9</v>
      </c>
      <c r="K178" s="2" t="n">
        <v>0.7</v>
      </c>
      <c r="L178" s="2" t="n">
        <v>0.7</v>
      </c>
      <c r="M178" s="2" t="inlineStr">
        <is>
          <t>MediumRough</t>
        </is>
      </c>
      <c r="N178" s="22">
        <f>IF(G178&gt;0,F178/G178,0)</f>
        <v/>
      </c>
    </row>
    <row r="179">
      <c r="A179" s="2" t="inlineStr">
        <is>
          <t>B10</t>
        </is>
      </c>
      <c r="B179" s="2" t="inlineStr">
        <is>
          <t>WL_POLIMI-LC_IW04</t>
        </is>
      </c>
      <c r="C179" s="2" t="n">
        <v>8</v>
      </c>
      <c r="D179" s="2" t="inlineStr">
        <is>
          <t>dtu_MT_POLIMI_Piastrelle-0.015</t>
        </is>
      </c>
      <c r="E179" s="2" t="inlineStr">
        <is>
          <t>dtu_MT_POLIMI_Piastrelle</t>
        </is>
      </c>
      <c r="F179" s="2" t="n">
        <v>0.015</v>
      </c>
      <c r="G179" s="2" t="n">
        <v>1.3</v>
      </c>
      <c r="H179" s="2" t="n">
        <v>2300</v>
      </c>
      <c r="I179" s="2" t="n">
        <v>839</v>
      </c>
      <c r="J179" s="2" t="n">
        <v>0.9</v>
      </c>
      <c r="K179" s="2" t="n">
        <v>0.7</v>
      </c>
      <c r="L179" s="2" t="n">
        <v>0.7</v>
      </c>
      <c r="M179" s="2" t="inlineStr">
        <is>
          <t>MediumRough</t>
        </is>
      </c>
      <c r="N179" s="22">
        <f>IF(G179&gt;0,F179/G179,0)</f>
        <v/>
      </c>
    </row>
    <row r="180">
      <c r="A180" s="2" t="inlineStr">
        <is>
          <t>B10</t>
        </is>
      </c>
      <c r="B180" s="2" t="inlineStr">
        <is>
          <t>WL_POLIMI-LC_IW06_Toilet</t>
        </is>
      </c>
      <c r="C180" s="2" t="n">
        <v>1</v>
      </c>
      <c r="D180" s="2" t="inlineStr">
        <is>
          <t>dtu_MT_POLIMI_Camera d'aria non ventilata-0.065</t>
        </is>
      </c>
      <c r="E180" s="2" t="inlineStr">
        <is>
          <t>dtu_MT_POLIMI_Camera d'aria non ventilata</t>
        </is>
      </c>
      <c r="F180" s="2" t="n">
        <v>0.065</v>
      </c>
      <c r="G180" s="2" t="n">
        <v>1</v>
      </c>
      <c r="H180" s="2" t="n">
        <v>1</v>
      </c>
      <c r="I180" s="2" t="n">
        <v>1003</v>
      </c>
      <c r="J180" s="2" t="n">
        <v>0.7</v>
      </c>
      <c r="K180" s="2" t="n">
        <v>0.7</v>
      </c>
      <c r="L180" s="2" t="n">
        <v>0.7</v>
      </c>
      <c r="M180" s="2" t="inlineStr">
        <is>
          <t>MediumRough</t>
        </is>
      </c>
      <c r="N180" s="22">
        <f>IF(G180&gt;0,F180/G180,0)</f>
        <v/>
      </c>
    </row>
    <row r="181">
      <c r="A181" s="2" t="inlineStr">
        <is>
          <t>B10</t>
        </is>
      </c>
      <c r="B181" s="2" t="inlineStr">
        <is>
          <t>WL_POLIMI-LC_IW06_Toilet</t>
        </is>
      </c>
      <c r="C181" s="2" t="n">
        <v>2</v>
      </c>
      <c r="D181" s="2" t="inlineStr">
        <is>
          <t>dtu_MT_POLIMI_Isolante morbido-0.04</t>
        </is>
      </c>
      <c r="E181" s="2" t="inlineStr">
        <is>
          <t>dtu_MT_POLIMI_Isolante morbido</t>
        </is>
      </c>
      <c r="F181" s="2" t="n">
        <v>0.04</v>
      </c>
      <c r="G181" s="2" t="n">
        <v>0.04</v>
      </c>
      <c r="H181" s="2" t="n">
        <v>80</v>
      </c>
      <c r="I181" s="2" t="n">
        <v>1028</v>
      </c>
      <c r="J181" s="2" t="n">
        <v>0.95</v>
      </c>
      <c r="K181" s="2" t="n">
        <v>0.7</v>
      </c>
      <c r="L181" s="2" t="n">
        <v>0.7</v>
      </c>
      <c r="M181" s="2" t="inlineStr">
        <is>
          <t>MediumRough</t>
        </is>
      </c>
      <c r="N181" s="22">
        <f>IF(G181&gt;0,F181/G181,0)</f>
        <v/>
      </c>
    </row>
    <row r="182">
      <c r="A182" s="2" t="inlineStr">
        <is>
          <t>B10</t>
        </is>
      </c>
      <c r="B182" s="2" t="inlineStr">
        <is>
          <t>WL_POLIMI-LC_IW06_Toilet</t>
        </is>
      </c>
      <c r="C182" s="2" t="n">
        <v>3</v>
      </c>
      <c r="D182" s="2" t="inlineStr">
        <is>
          <t>dtu_MT_POLIMI_Gypsum Board-0.025</t>
        </is>
      </c>
      <c r="E182" s="2" t="inlineStr">
        <is>
          <t>dtu_MT_POLIMI_Gypsum Board</t>
        </is>
      </c>
      <c r="F182" s="2" t="n">
        <v>0.025</v>
      </c>
      <c r="G182" s="2" t="n">
        <v>0.21</v>
      </c>
      <c r="H182" s="2" t="n">
        <v>900</v>
      </c>
      <c r="I182" s="2" t="n">
        <v>1000</v>
      </c>
      <c r="J182" s="2" t="n">
        <v>0.9</v>
      </c>
      <c r="K182" s="2" t="n">
        <v>0.7</v>
      </c>
      <c r="L182" s="2" t="n">
        <v>0.7</v>
      </c>
      <c r="M182" s="2" t="inlineStr">
        <is>
          <t>MediumRough</t>
        </is>
      </c>
      <c r="N182" s="22">
        <f>IF(G182&gt;0,F182/G182,0)</f>
        <v/>
      </c>
    </row>
    <row r="183">
      <c r="A183" s="2" t="inlineStr">
        <is>
          <t>B10</t>
        </is>
      </c>
      <c r="B183" s="2" t="inlineStr">
        <is>
          <t>WL_POLIMI-LC_IW06_Toilet</t>
        </is>
      </c>
      <c r="C183" s="2" t="n">
        <v>4</v>
      </c>
      <c r="D183" s="2" t="inlineStr">
        <is>
          <t>dtu_MT_POLIMI_Intonaco gesso puro-0.01</t>
        </is>
      </c>
      <c r="E183" s="2" t="inlineStr">
        <is>
          <t>dtu_MT_POLIMI_Intonaco gesso puro</t>
        </is>
      </c>
      <c r="F183" s="2" t="n">
        <v>0.01</v>
      </c>
      <c r="G183" s="2" t="n">
        <v>0.35</v>
      </c>
      <c r="H183" s="2" t="n">
        <v>1200</v>
      </c>
      <c r="I183" s="2" t="n">
        <v>999</v>
      </c>
      <c r="J183" s="2" t="n">
        <v>0.9</v>
      </c>
      <c r="K183" s="2" t="n">
        <v>0.7</v>
      </c>
      <c r="L183" s="2" t="n">
        <v>0.7</v>
      </c>
      <c r="M183" s="2" t="inlineStr">
        <is>
          <t>MediumRough</t>
        </is>
      </c>
      <c r="N183" s="22">
        <f>IF(G183&gt;0,F183/G183,0)</f>
        <v/>
      </c>
    </row>
    <row r="184">
      <c r="A184" s="2" t="inlineStr">
        <is>
          <t>B10</t>
        </is>
      </c>
      <c r="B184" s="2" t="inlineStr">
        <is>
          <t>WL_POLIMI-LC_IW06_Toilet</t>
        </is>
      </c>
      <c r="C184" s="2" t="n">
        <v>5</v>
      </c>
      <c r="D184" s="2" t="inlineStr">
        <is>
          <t>dtu_MT_POLIMI_Piastrelle-0.015</t>
        </is>
      </c>
      <c r="E184" s="2" t="inlineStr">
        <is>
          <t>dtu_MT_POLIMI_Piastrelle</t>
        </is>
      </c>
      <c r="F184" s="2" t="n">
        <v>0.015</v>
      </c>
      <c r="G184" s="2" t="n">
        <v>1.3</v>
      </c>
      <c r="H184" s="2" t="n">
        <v>2300</v>
      </c>
      <c r="I184" s="2" t="n">
        <v>839</v>
      </c>
      <c r="J184" s="2" t="n">
        <v>0.9</v>
      </c>
      <c r="K184" s="2" t="n">
        <v>0.7</v>
      </c>
      <c r="L184" s="2" t="n">
        <v>0.7</v>
      </c>
      <c r="M184" s="2" t="inlineStr">
        <is>
          <t>MediumRough</t>
        </is>
      </c>
      <c r="N184" s="22">
        <f>IF(G184&gt;0,F184/G184,0)</f>
        <v/>
      </c>
    </row>
    <row r="185">
      <c r="A185" s="2" t="inlineStr">
        <is>
          <t>B10</t>
        </is>
      </c>
      <c r="B185" s="2" t="inlineStr">
        <is>
          <t>WL_POLIMI-LC_IW01</t>
        </is>
      </c>
      <c r="C185" s="2" t="n">
        <v>1</v>
      </c>
      <c r="D185" s="2" t="inlineStr">
        <is>
          <t>dtu_MT_POLIMI_Intonaco gesso puro-0.01</t>
        </is>
      </c>
      <c r="E185" s="2" t="inlineStr">
        <is>
          <t>dtu_MT_POLIMI_Intonaco gesso puro</t>
        </is>
      </c>
      <c r="F185" s="2" t="n">
        <v>0.01</v>
      </c>
      <c r="G185" s="2" t="n">
        <v>0.35</v>
      </c>
      <c r="H185" s="2" t="n">
        <v>1200</v>
      </c>
      <c r="I185" s="2" t="n">
        <v>999</v>
      </c>
      <c r="J185" s="2" t="n">
        <v>0.9</v>
      </c>
      <c r="K185" s="2" t="n">
        <v>0.7</v>
      </c>
      <c r="L185" s="2" t="n">
        <v>0.7</v>
      </c>
      <c r="M185" s="2" t="inlineStr">
        <is>
          <t>MediumRough</t>
        </is>
      </c>
      <c r="N185" s="22">
        <f>IF(G185&gt;0,F185/G185,0)</f>
        <v/>
      </c>
    </row>
    <row r="186">
      <c r="A186" s="2" t="inlineStr">
        <is>
          <t>B10</t>
        </is>
      </c>
      <c r="B186" s="2" t="inlineStr">
        <is>
          <t>WL_POLIMI-LC_IW01</t>
        </is>
      </c>
      <c r="C186" s="2" t="n">
        <v>2</v>
      </c>
      <c r="D186" s="2" t="inlineStr">
        <is>
          <t>dtu_MT_POLIMI_Gypsum Board-0.025</t>
        </is>
      </c>
      <c r="E186" s="2" t="inlineStr">
        <is>
          <t>dtu_MT_POLIMI_Gypsum Board</t>
        </is>
      </c>
      <c r="F186" s="2" t="n">
        <v>0.025</v>
      </c>
      <c r="G186" s="2" t="n">
        <v>0.21</v>
      </c>
      <c r="H186" s="2" t="n">
        <v>900</v>
      </c>
      <c r="I186" s="2" t="n">
        <v>1000</v>
      </c>
      <c r="J186" s="2" t="n">
        <v>0.9</v>
      </c>
      <c r="K186" s="2" t="n">
        <v>0.7</v>
      </c>
      <c r="L186" s="2" t="n">
        <v>0.7</v>
      </c>
      <c r="M186" s="2" t="inlineStr">
        <is>
          <t>MediumRough</t>
        </is>
      </c>
      <c r="N186" s="22">
        <f>IF(G186&gt;0,F186/G186,0)</f>
        <v/>
      </c>
    </row>
    <row r="187">
      <c r="A187" s="2" t="inlineStr">
        <is>
          <t>B10</t>
        </is>
      </c>
      <c r="B187" s="2" t="inlineStr">
        <is>
          <t>WL_POLIMI-LC_IW01</t>
        </is>
      </c>
      <c r="C187" s="2" t="n">
        <v>3</v>
      </c>
      <c r="D187" s="2" t="inlineStr">
        <is>
          <t>dtu_MT_POLIMI_Isolante morbido-0.04</t>
        </is>
      </c>
      <c r="E187" s="2" t="inlineStr">
        <is>
          <t>dtu_MT_POLIMI_Isolante morbido</t>
        </is>
      </c>
      <c r="F187" s="2" t="n">
        <v>0.04</v>
      </c>
      <c r="G187" s="2" t="n">
        <v>0.04</v>
      </c>
      <c r="H187" s="2" t="n">
        <v>80</v>
      </c>
      <c r="I187" s="2" t="n">
        <v>1028</v>
      </c>
      <c r="J187" s="2" t="n">
        <v>0.95</v>
      </c>
      <c r="K187" s="2" t="n">
        <v>0.7</v>
      </c>
      <c r="L187" s="2" t="n">
        <v>0.7</v>
      </c>
      <c r="M187" s="2" t="inlineStr">
        <is>
          <t>MediumRough</t>
        </is>
      </c>
      <c r="N187" s="22">
        <f>IF(G187&gt;0,F187/G187,0)</f>
        <v/>
      </c>
    </row>
    <row r="188">
      <c r="A188" s="2" t="inlineStr">
        <is>
          <t>B10</t>
        </is>
      </c>
      <c r="B188" s="2" t="inlineStr">
        <is>
          <t>WL_POLIMI-LC_IW01</t>
        </is>
      </c>
      <c r="C188" s="2" t="n">
        <v>4</v>
      </c>
      <c r="D188" s="2" t="inlineStr">
        <is>
          <t>dtu_MT_POLIMI_Camera d'aria non ventilata-0.04</t>
        </is>
      </c>
      <c r="E188" s="2" t="inlineStr">
        <is>
          <t>dtu_MT_POLIMI_Camera d'aria non ventilata</t>
        </is>
      </c>
      <c r="F188" s="2" t="n">
        <v>0.04</v>
      </c>
      <c r="G188" s="2" t="n">
        <v>1</v>
      </c>
      <c r="H188" s="2" t="n">
        <v>1</v>
      </c>
      <c r="I188" s="2" t="n">
        <v>1003</v>
      </c>
      <c r="J188" s="2" t="n">
        <v>0.7</v>
      </c>
      <c r="K188" s="2" t="n">
        <v>0.7</v>
      </c>
      <c r="L188" s="2" t="n">
        <v>0.7</v>
      </c>
      <c r="M188" s="2" t="inlineStr">
        <is>
          <t>MediumRough</t>
        </is>
      </c>
      <c r="N188" s="22">
        <f>IF(G188&gt;0,F188/G188,0)</f>
        <v/>
      </c>
    </row>
    <row r="189">
      <c r="A189" s="2" t="inlineStr">
        <is>
          <t>B10</t>
        </is>
      </c>
      <c r="B189" s="2" t="inlineStr">
        <is>
          <t>WL_POLIMI-LC_IW01</t>
        </is>
      </c>
      <c r="C189" s="2" t="n">
        <v>5</v>
      </c>
      <c r="D189" s="2" t="inlineStr">
        <is>
          <t>dtu_MT_Calcestruzzo armato-0.3</t>
        </is>
      </c>
      <c r="E189" s="2" t="inlineStr">
        <is>
          <t>dtu_MT_Calcestruzzo armato</t>
        </is>
      </c>
      <c r="F189" s="2" t="n">
        <v>0.3</v>
      </c>
      <c r="G189" s="2" t="n">
        <v>2.3</v>
      </c>
      <c r="H189" s="2" t="n">
        <v>2399.959999999999</v>
      </c>
      <c r="I189" s="2" t="n">
        <v>1000</v>
      </c>
      <c r="J189" s="2" t="n">
        <v>0.85</v>
      </c>
      <c r="K189" s="2" t="n">
        <v>0.7</v>
      </c>
      <c r="L189" s="2" t="n">
        <v>0.7</v>
      </c>
      <c r="M189" s="2" t="inlineStr">
        <is>
          <t>MediumRough</t>
        </is>
      </c>
      <c r="N189" s="22">
        <f>IF(G189&gt;0,F189/G189,0)</f>
        <v/>
      </c>
    </row>
    <row r="190">
      <c r="A190" s="2" t="inlineStr">
        <is>
          <t>B10</t>
        </is>
      </c>
      <c r="B190" s="2" t="inlineStr">
        <is>
          <t>WL_POLIMI-LC_IW01</t>
        </is>
      </c>
      <c r="C190" s="2" t="n">
        <v>6</v>
      </c>
      <c r="D190" s="2" t="inlineStr">
        <is>
          <t>dtu_MT__POLIMI_Intonaco interno-0.02</t>
        </is>
      </c>
      <c r="E190" s="2" t="inlineStr">
        <is>
          <t>dtu_MT__POLIMI_Intonaco interno</t>
        </is>
      </c>
      <c r="F190" s="2" t="n">
        <v>0.02</v>
      </c>
      <c r="G190" s="2" t="n">
        <v>0.35</v>
      </c>
      <c r="H190" s="2" t="n">
        <v>1200</v>
      </c>
      <c r="I190" s="2" t="n">
        <v>999</v>
      </c>
      <c r="J190" s="2" t="n">
        <v>0.9</v>
      </c>
      <c r="K190" s="2" t="n">
        <v>0.7</v>
      </c>
      <c r="L190" s="2" t="n">
        <v>0.7</v>
      </c>
      <c r="M190" s="2" t="inlineStr">
        <is>
          <t>MediumRough</t>
        </is>
      </c>
      <c r="N190" s="22">
        <f>IF(G190&gt;0,F190/G190,0)</f>
        <v/>
      </c>
    </row>
    <row r="191">
      <c r="A191" s="2" t="inlineStr">
        <is>
          <t>B10</t>
        </is>
      </c>
      <c r="B191" s="2" t="inlineStr">
        <is>
          <t>WL_POLIMI-LC_IW05_Toilet</t>
        </is>
      </c>
      <c r="C191" s="2" t="n">
        <v>1</v>
      </c>
      <c r="D191" s="2" t="inlineStr">
        <is>
          <t>dtu_MT_POLIMI_Piastrelle-0.015</t>
        </is>
      </c>
      <c r="E191" s="2" t="inlineStr">
        <is>
          <t>dtu_MT_POLIMI_Piastrelle</t>
        </is>
      </c>
      <c r="F191" s="2" t="n">
        <v>0.015</v>
      </c>
      <c r="G191" s="2" t="n">
        <v>1.3</v>
      </c>
      <c r="H191" s="2" t="n">
        <v>2300</v>
      </c>
      <c r="I191" s="2" t="n">
        <v>839</v>
      </c>
      <c r="J191" s="2" t="n">
        <v>0.9</v>
      </c>
      <c r="K191" s="2" t="n">
        <v>0.7</v>
      </c>
      <c r="L191" s="2" t="n">
        <v>0.7</v>
      </c>
      <c r="M191" s="2" t="inlineStr">
        <is>
          <t>MediumRough</t>
        </is>
      </c>
      <c r="N191" s="22">
        <f>IF(G191&gt;0,F191/G191,0)</f>
        <v/>
      </c>
    </row>
    <row r="192">
      <c r="A192" s="2" t="inlineStr">
        <is>
          <t>B10</t>
        </is>
      </c>
      <c r="B192" s="2" t="inlineStr">
        <is>
          <t>WL_POLIMI-LC_IW05_Toilet</t>
        </is>
      </c>
      <c r="C192" s="2" t="n">
        <v>2</v>
      </c>
      <c r="D192" s="2" t="inlineStr">
        <is>
          <t>dtu_MT__POLIMI_Intonaco interno-0.01</t>
        </is>
      </c>
      <c r="E192" s="2" t="inlineStr">
        <is>
          <t>dtu_MT__POLIMI_Intonaco interno</t>
        </is>
      </c>
      <c r="F192" s="2" t="n">
        <v>0.01</v>
      </c>
      <c r="G192" s="2" t="n">
        <v>0.35</v>
      </c>
      <c r="H192" s="2" t="n">
        <v>1200</v>
      </c>
      <c r="I192" s="2" t="n">
        <v>999</v>
      </c>
      <c r="J192" s="2" t="n">
        <v>0.9</v>
      </c>
      <c r="K192" s="2" t="n">
        <v>0.7</v>
      </c>
      <c r="L192" s="2" t="n">
        <v>0.7</v>
      </c>
      <c r="M192" s="2" t="inlineStr">
        <is>
          <t>MediumRough</t>
        </is>
      </c>
      <c r="N192" s="22">
        <f>IF(G192&gt;0,F192/G192,0)</f>
        <v/>
      </c>
    </row>
    <row r="193">
      <c r="A193" s="2" t="inlineStr">
        <is>
          <t>B10</t>
        </is>
      </c>
      <c r="B193" s="2" t="inlineStr">
        <is>
          <t>WL_POLIMI-LC_IW05_Toilet</t>
        </is>
      </c>
      <c r="C193" s="2" t="n">
        <v>3</v>
      </c>
      <c r="D193" s="2" t="inlineStr">
        <is>
          <t>dtu_MT_POLIMI_Gypsum Board-0.025</t>
        </is>
      </c>
      <c r="E193" s="2" t="inlineStr">
        <is>
          <t>dtu_MT_POLIMI_Gypsum Board</t>
        </is>
      </c>
      <c r="F193" s="2" t="n">
        <v>0.025</v>
      </c>
      <c r="G193" s="2" t="n">
        <v>0.21</v>
      </c>
      <c r="H193" s="2" t="n">
        <v>900</v>
      </c>
      <c r="I193" s="2" t="n">
        <v>1000</v>
      </c>
      <c r="J193" s="2" t="n">
        <v>0.9</v>
      </c>
      <c r="K193" s="2" t="n">
        <v>0.7</v>
      </c>
      <c r="L193" s="2" t="n">
        <v>0.7</v>
      </c>
      <c r="M193" s="2" t="inlineStr">
        <is>
          <t>MediumRough</t>
        </is>
      </c>
      <c r="N193" s="22">
        <f>IF(G193&gt;0,F193/G193,0)</f>
        <v/>
      </c>
    </row>
    <row r="194">
      <c r="A194" s="2" t="inlineStr">
        <is>
          <t>B10</t>
        </is>
      </c>
      <c r="B194" s="2" t="inlineStr">
        <is>
          <t>WL_POLIMI-LC_IW05_Toilet</t>
        </is>
      </c>
      <c r="C194" s="2" t="n">
        <v>4</v>
      </c>
      <c r="D194" s="2" t="inlineStr">
        <is>
          <t>dtu_MT_POLIMI_Isolante morbido-0.04</t>
        </is>
      </c>
      <c r="E194" s="2" t="inlineStr">
        <is>
          <t>dtu_MT_POLIMI_Isolante morbido</t>
        </is>
      </c>
      <c r="F194" s="2" t="n">
        <v>0.04</v>
      </c>
      <c r="G194" s="2" t="n">
        <v>0.04</v>
      </c>
      <c r="H194" s="2" t="n">
        <v>80</v>
      </c>
      <c r="I194" s="2" t="n">
        <v>1028</v>
      </c>
      <c r="J194" s="2" t="n">
        <v>0.95</v>
      </c>
      <c r="K194" s="2" t="n">
        <v>0.7</v>
      </c>
      <c r="L194" s="2" t="n">
        <v>0.7</v>
      </c>
      <c r="M194" s="2" t="inlineStr">
        <is>
          <t>MediumRough</t>
        </is>
      </c>
      <c r="N194" s="22">
        <f>IF(G194&gt;0,F194/G194,0)</f>
        <v/>
      </c>
    </row>
    <row r="195">
      <c r="A195" s="2" t="inlineStr">
        <is>
          <t>B10</t>
        </is>
      </c>
      <c r="B195" s="2" t="inlineStr">
        <is>
          <t>WL_POLIMI-LC_IW05_Toilet</t>
        </is>
      </c>
      <c r="C195" s="2" t="n">
        <v>5</v>
      </c>
      <c r="D195" s="2" t="inlineStr">
        <is>
          <t>dtu_MT_POLIMI_Camera d'aria non ventilata-0.065</t>
        </is>
      </c>
      <c r="E195" s="2" t="inlineStr">
        <is>
          <t>dtu_MT_POLIMI_Camera d'aria non ventilata</t>
        </is>
      </c>
      <c r="F195" s="2" t="n">
        <v>0.065</v>
      </c>
      <c r="G195" s="2" t="n">
        <v>1</v>
      </c>
      <c r="H195" s="2" t="n">
        <v>1</v>
      </c>
      <c r="I195" s="2" t="n">
        <v>1003</v>
      </c>
      <c r="J195" s="2" t="n">
        <v>0.7</v>
      </c>
      <c r="K195" s="2" t="n">
        <v>0.7</v>
      </c>
      <c r="L195" s="2" t="n">
        <v>0.7</v>
      </c>
      <c r="M195" s="2" t="inlineStr">
        <is>
          <t>MediumRough</t>
        </is>
      </c>
      <c r="N195" s="22">
        <f>IF(G195&gt;0,F195/G195,0)</f>
        <v/>
      </c>
    </row>
    <row r="196">
      <c r="A196" s="2" t="inlineStr">
        <is>
          <t>B10</t>
        </is>
      </c>
      <c r="B196" s="2" t="inlineStr">
        <is>
          <t>WL_POLIMI-LC_IW05_Toilet</t>
        </is>
      </c>
      <c r="C196" s="2" t="n">
        <v>6</v>
      </c>
      <c r="D196" s="2" t="inlineStr">
        <is>
          <t>dtu_MT_POLIMI_Isolante morbido-0.04</t>
        </is>
      </c>
      <c r="E196" s="2" t="inlineStr">
        <is>
          <t>dtu_MT_POLIMI_Isolante morbido</t>
        </is>
      </c>
      <c r="F196" s="2" t="n">
        <v>0.04</v>
      </c>
      <c r="G196" s="2" t="n">
        <v>0.04</v>
      </c>
      <c r="H196" s="2" t="n">
        <v>80</v>
      </c>
      <c r="I196" s="2" t="n">
        <v>1028</v>
      </c>
      <c r="J196" s="2" t="n">
        <v>0.95</v>
      </c>
      <c r="K196" s="2" t="n">
        <v>0.7</v>
      </c>
      <c r="L196" s="2" t="n">
        <v>0.7</v>
      </c>
      <c r="M196" s="2" t="inlineStr">
        <is>
          <t>MediumRough</t>
        </is>
      </c>
      <c r="N196" s="22">
        <f>IF(G196&gt;0,F196/G196,0)</f>
        <v/>
      </c>
    </row>
    <row r="197">
      <c r="A197" s="2" t="inlineStr">
        <is>
          <t>B10</t>
        </is>
      </c>
      <c r="B197" s="2" t="inlineStr">
        <is>
          <t>WL_POLIMI-LC_IW05_Toilet</t>
        </is>
      </c>
      <c r="C197" s="2" t="n">
        <v>7</v>
      </c>
      <c r="D197" s="2" t="inlineStr">
        <is>
          <t>dtu_MT_POLIMI_Gypsum Board-0.025</t>
        </is>
      </c>
      <c r="E197" s="2" t="inlineStr">
        <is>
          <t>dtu_MT_POLIMI_Gypsum Board</t>
        </is>
      </c>
      <c r="F197" s="2" t="n">
        <v>0.025</v>
      </c>
      <c r="G197" s="2" t="n">
        <v>0.21</v>
      </c>
      <c r="H197" s="2" t="n">
        <v>900</v>
      </c>
      <c r="I197" s="2" t="n">
        <v>1000</v>
      </c>
      <c r="J197" s="2" t="n">
        <v>0.9</v>
      </c>
      <c r="K197" s="2" t="n">
        <v>0.7</v>
      </c>
      <c r="L197" s="2" t="n">
        <v>0.7</v>
      </c>
      <c r="M197" s="2" t="inlineStr">
        <is>
          <t>MediumRough</t>
        </is>
      </c>
      <c r="N197" s="22">
        <f>IF(G197&gt;0,F197/G197,0)</f>
        <v/>
      </c>
    </row>
    <row r="198">
      <c r="A198" s="2" t="inlineStr">
        <is>
          <t>B10</t>
        </is>
      </c>
      <c r="B198" s="2" t="inlineStr">
        <is>
          <t>WL_POLIMI-LC_IW05_Toilet</t>
        </is>
      </c>
      <c r="C198" s="2" t="n">
        <v>8</v>
      </c>
      <c r="D198" s="2" t="inlineStr">
        <is>
          <t>dtu_MT_POLIMI_Intonaco gesso puro-0.01</t>
        </is>
      </c>
      <c r="E198" s="2" t="inlineStr">
        <is>
          <t>dtu_MT_POLIMI_Intonaco gesso puro</t>
        </is>
      </c>
      <c r="F198" s="2" t="n">
        <v>0.01</v>
      </c>
      <c r="G198" s="2" t="n">
        <v>0.35</v>
      </c>
      <c r="H198" s="2" t="n">
        <v>1200</v>
      </c>
      <c r="I198" s="2" t="n">
        <v>999</v>
      </c>
      <c r="J198" s="2" t="n">
        <v>0.9</v>
      </c>
      <c r="K198" s="2" t="n">
        <v>0.7</v>
      </c>
      <c r="L198" s="2" t="n">
        <v>0.7</v>
      </c>
      <c r="M198" s="2" t="inlineStr">
        <is>
          <t>MediumRough</t>
        </is>
      </c>
      <c r="N198" s="22">
        <f>IF(G198&gt;0,F198/G198,0)</f>
        <v/>
      </c>
    </row>
    <row r="199">
      <c r="A199" s="2" t="inlineStr">
        <is>
          <t>B10</t>
        </is>
      </c>
      <c r="B199" s="2" t="inlineStr">
        <is>
          <t>WL_POLIMI-LC_IW05_Toilet</t>
        </is>
      </c>
      <c r="C199" s="2" t="n">
        <v>9</v>
      </c>
      <c r="D199" s="2" t="inlineStr">
        <is>
          <t>dtu_MT_POLIMI_Piastrelle-0.015</t>
        </is>
      </c>
      <c r="E199" s="2" t="inlineStr">
        <is>
          <t>dtu_MT_POLIMI_Piastrelle</t>
        </is>
      </c>
      <c r="F199" s="2" t="n">
        <v>0.015</v>
      </c>
      <c r="G199" s="2" t="n">
        <v>1.3</v>
      </c>
      <c r="H199" s="2" t="n">
        <v>2300</v>
      </c>
      <c r="I199" s="2" t="n">
        <v>839</v>
      </c>
      <c r="J199" s="2" t="n">
        <v>0.9</v>
      </c>
      <c r="K199" s="2" t="n">
        <v>0.7</v>
      </c>
      <c r="L199" s="2" t="n">
        <v>0.7</v>
      </c>
      <c r="M199" s="2" t="inlineStr">
        <is>
          <t>MediumRough</t>
        </is>
      </c>
      <c r="N199" s="22">
        <f>IF(G199&gt;0,F199/G199,0)</f>
        <v/>
      </c>
    </row>
    <row r="200">
      <c r="A200" s="2" t="inlineStr">
        <is>
          <t>B10</t>
        </is>
      </c>
      <c r="B200" s="2" t="inlineStr">
        <is>
          <t>FL_POLIMI-LC_InternalFloor_IH-E</t>
        </is>
      </c>
      <c r="C200" s="2" t="n">
        <v>1</v>
      </c>
      <c r="D200" s="2" t="inlineStr">
        <is>
          <t>dtu_MT_POLIMI_Linoleum-0.01</t>
        </is>
      </c>
      <c r="E200" s="2" t="inlineStr">
        <is>
          <t>dtu_MT_POLIMI_Linoleum</t>
        </is>
      </c>
      <c r="F200" s="2" t="n">
        <v>0.01</v>
      </c>
      <c r="G200" s="2" t="n">
        <v>0.041</v>
      </c>
      <c r="H200" s="2" t="n">
        <v>50</v>
      </c>
      <c r="I200" s="2" t="n">
        <v>2301</v>
      </c>
      <c r="J200" s="2" t="n">
        <v>0.95</v>
      </c>
      <c r="K200" s="2" t="n">
        <v>0.7</v>
      </c>
      <c r="L200" s="2" t="n">
        <v>0.7</v>
      </c>
      <c r="M200" s="2" t="inlineStr">
        <is>
          <t>MediumRough</t>
        </is>
      </c>
      <c r="N200" s="22">
        <f>IF(G200&gt;0,F200/G200,0)</f>
        <v/>
      </c>
    </row>
    <row r="201">
      <c r="A201" s="2" t="inlineStr">
        <is>
          <t>B10</t>
        </is>
      </c>
      <c r="B201" s="2" t="inlineStr">
        <is>
          <t>FL_POLIMI-LC_InternalFloor_IH-E</t>
        </is>
      </c>
      <c r="C201" s="2" t="n">
        <v>2</v>
      </c>
      <c r="D201" s="2" t="inlineStr">
        <is>
          <t>dtu_MT_Massetto-0.15</t>
        </is>
      </c>
      <c r="E201" s="2" t="inlineStr">
        <is>
          <t>dtu_MT_Massetto</t>
        </is>
      </c>
      <c r="F201" s="2" t="n">
        <v>0.15</v>
      </c>
      <c r="G201" s="2" t="n">
        <v>1.2</v>
      </c>
      <c r="H201" s="2" t="n">
        <v>1700</v>
      </c>
      <c r="I201" s="2" t="n">
        <v>1000</v>
      </c>
      <c r="J201" s="2" t="n">
        <v>0.95</v>
      </c>
      <c r="K201" s="2" t="n">
        <v>0.7</v>
      </c>
      <c r="L201" s="2" t="n">
        <v>0.7</v>
      </c>
      <c r="M201" s="2" t="inlineStr">
        <is>
          <t>MediumRough</t>
        </is>
      </c>
      <c r="N201" s="22">
        <f>IF(G201&gt;0,F201/G201,0)</f>
        <v/>
      </c>
    </row>
    <row r="202">
      <c r="A202" s="2" t="inlineStr">
        <is>
          <t>B10</t>
        </is>
      </c>
      <c r="B202" s="2" t="inlineStr">
        <is>
          <t>FL_POLIMI-LC_InternalFloor_IH-E</t>
        </is>
      </c>
      <c r="C202" s="2" t="n">
        <v>3</v>
      </c>
      <c r="D202" s="2" t="inlineStr">
        <is>
          <t>dtu_MT_POLIMI_Isolante rigido-0.1</t>
        </is>
      </c>
      <c r="E202" s="2" t="inlineStr">
        <is>
          <t>dtu_MT_POLIMI_Isolante rigido</t>
        </is>
      </c>
      <c r="F202" s="2" t="n">
        <v>0.1</v>
      </c>
      <c r="G202" s="2" t="n">
        <v>0.04</v>
      </c>
      <c r="H202" s="2" t="n">
        <v>30</v>
      </c>
      <c r="I202" s="2" t="n">
        <v>1452</v>
      </c>
      <c r="J202" s="2" t="n">
        <v>0.95</v>
      </c>
      <c r="K202" s="2" t="n">
        <v>0.7</v>
      </c>
      <c r="L202" s="2" t="n">
        <v>0.7</v>
      </c>
      <c r="M202" s="2" t="inlineStr">
        <is>
          <t>MediumRough</t>
        </is>
      </c>
      <c r="N202" s="22">
        <f>IF(G202&gt;0,F202/G202,0)</f>
        <v/>
      </c>
    </row>
    <row r="203">
      <c r="A203" s="2" t="inlineStr">
        <is>
          <t>B10</t>
        </is>
      </c>
      <c r="B203" s="2" t="inlineStr">
        <is>
          <t>FL_POLIMI-LC_InternalFloor_IH-E</t>
        </is>
      </c>
      <c r="C203" s="2" t="n">
        <v>4</v>
      </c>
      <c r="D203" s="2" t="inlineStr">
        <is>
          <t>dtu_MT_Solaio laterocemento-0.15</t>
        </is>
      </c>
      <c r="E203" s="2" t="inlineStr">
        <is>
          <t>dtu_MT_Solaio laterocemento</t>
        </is>
      </c>
      <c r="F203" s="2" t="n">
        <v>0.15</v>
      </c>
      <c r="G203" s="2" t="n">
        <v>0.66</v>
      </c>
      <c r="H203" s="2" t="n">
        <v>1100</v>
      </c>
      <c r="I203" s="2" t="n">
        <v>839</v>
      </c>
      <c r="J203" s="2" t="n">
        <v>0.95</v>
      </c>
      <c r="K203" s="2" t="n">
        <v>0.7</v>
      </c>
      <c r="L203" s="2" t="n">
        <v>0.7</v>
      </c>
      <c r="M203" s="2" t="inlineStr">
        <is>
          <t>MediumRough</t>
        </is>
      </c>
      <c r="N203" s="22">
        <f>IF(G203&gt;0,F203/G203,0)</f>
        <v/>
      </c>
    </row>
    <row r="204">
      <c r="A204" s="2" t="inlineStr">
        <is>
          <t>B10</t>
        </is>
      </c>
      <c r="B204" s="2" t="inlineStr">
        <is>
          <t>FL_POLIMI-LC_InternalFloor_IH-E</t>
        </is>
      </c>
      <c r="C204" s="2" t="n">
        <v>5</v>
      </c>
      <c r="D204" s="2" t="inlineStr">
        <is>
          <t>dtu_MT__POLIMI_Intonaco interno-0.02</t>
        </is>
      </c>
      <c r="E204" s="2" t="inlineStr">
        <is>
          <t>dtu_MT__POLIMI_Intonaco interno</t>
        </is>
      </c>
      <c r="F204" s="2" t="n">
        <v>0.02</v>
      </c>
      <c r="G204" s="2" t="n">
        <v>0.35</v>
      </c>
      <c r="H204" s="2" t="n">
        <v>1200</v>
      </c>
      <c r="I204" s="2" t="n">
        <v>999</v>
      </c>
      <c r="J204" s="2" t="n">
        <v>0.9</v>
      </c>
      <c r="K204" s="2" t="n">
        <v>0.7</v>
      </c>
      <c r="L204" s="2" t="n">
        <v>0.7</v>
      </c>
      <c r="M204" s="2" t="inlineStr">
        <is>
          <t>MediumRough</t>
        </is>
      </c>
      <c r="N204" s="22">
        <f>IF(G204&gt;0,F204/G204,0)</f>
        <v/>
      </c>
    </row>
    <row r="205">
      <c r="A205" s="2" t="inlineStr">
        <is>
          <t>B10</t>
        </is>
      </c>
      <c r="B205" s="2" t="inlineStr">
        <is>
          <t>FL_POLIMI-LC_GroundFloor</t>
        </is>
      </c>
      <c r="C205" s="2" t="n">
        <v>1</v>
      </c>
      <c r="D205" s="2" t="inlineStr">
        <is>
          <t>dtu_MT_POLIMI_Pavimento industriale-0.06</t>
        </is>
      </c>
      <c r="E205" s="2" t="inlineStr">
        <is>
          <t>dtu_MT_POLIMI_Pavimento industriale</t>
        </is>
      </c>
      <c r="F205" s="2" t="n">
        <v>0.06</v>
      </c>
      <c r="G205" s="2" t="n">
        <v>1.046</v>
      </c>
      <c r="H205" s="2" t="n">
        <v>2300</v>
      </c>
      <c r="I205" s="2" t="n">
        <v>657</v>
      </c>
      <c r="J205" s="2" t="n">
        <v>0.95</v>
      </c>
      <c r="K205" s="2" t="n">
        <v>0.7</v>
      </c>
      <c r="L205" s="2" t="n">
        <v>0.7</v>
      </c>
      <c r="M205" s="2" t="inlineStr">
        <is>
          <t>MediumRough</t>
        </is>
      </c>
      <c r="N205" s="22">
        <f>IF(G205&gt;0,F205/G205,0)</f>
        <v/>
      </c>
    </row>
    <row r="206">
      <c r="A206" s="2" t="inlineStr">
        <is>
          <t>B10</t>
        </is>
      </c>
      <c r="B206" s="2" t="inlineStr">
        <is>
          <t>FL_POLIMI-LC_GroundFloor</t>
        </is>
      </c>
      <c r="C206" s="2" t="n">
        <v>2</v>
      </c>
      <c r="D206" s="2" t="inlineStr">
        <is>
          <t>dtu_MT_POLIMI_Massetto-0.08</t>
        </is>
      </c>
      <c r="E206" s="2" t="inlineStr">
        <is>
          <t>dtu_MT_POLIMI_Massetto</t>
        </is>
      </c>
      <c r="F206" s="2" t="n">
        <v>0.08</v>
      </c>
      <c r="G206" s="2" t="n">
        <v>1.2</v>
      </c>
      <c r="H206" s="2" t="n">
        <v>1700</v>
      </c>
      <c r="I206" s="2" t="n">
        <v>1000</v>
      </c>
      <c r="J206" s="2" t="n">
        <v>0.95</v>
      </c>
      <c r="K206" s="2" t="n">
        <v>0.7</v>
      </c>
      <c r="L206" s="2" t="n">
        <v>0.7</v>
      </c>
      <c r="M206" s="2" t="inlineStr">
        <is>
          <t>MediumRough</t>
        </is>
      </c>
      <c r="N206" s="22">
        <f>IF(G206&gt;0,F206/G206,0)</f>
        <v/>
      </c>
    </row>
    <row r="207">
      <c r="A207" s="2" t="inlineStr">
        <is>
          <t>B10</t>
        </is>
      </c>
      <c r="B207" s="2" t="inlineStr">
        <is>
          <t>FL_POLIMI-LC_GroundFloor</t>
        </is>
      </c>
      <c r="C207" s="2" t="n">
        <v>3</v>
      </c>
      <c r="D207" s="2" t="inlineStr">
        <is>
          <t>dtu_MT_POLIMI_Isolante rigido-0.06</t>
        </is>
      </c>
      <c r="E207" s="2" t="inlineStr">
        <is>
          <t>dtu_MT_POLIMI_Isolante rigido</t>
        </is>
      </c>
      <c r="F207" s="2" t="n">
        <v>0.06</v>
      </c>
      <c r="G207" s="2" t="n">
        <v>0.04</v>
      </c>
      <c r="H207" s="2" t="n">
        <v>30</v>
      </c>
      <c r="I207" s="2" t="n">
        <v>1452</v>
      </c>
      <c r="J207" s="2" t="n">
        <v>0.95</v>
      </c>
      <c r="K207" s="2" t="n">
        <v>0.7</v>
      </c>
      <c r="L207" s="2" t="n">
        <v>0.7</v>
      </c>
      <c r="M207" s="2" t="inlineStr">
        <is>
          <t>MediumRough</t>
        </is>
      </c>
      <c r="N207" s="22">
        <f>IF(G207&gt;0,F207/G207,0)</f>
        <v/>
      </c>
    </row>
    <row r="208">
      <c r="A208" s="2" t="inlineStr">
        <is>
          <t>B10</t>
        </is>
      </c>
      <c r="B208" s="2" t="inlineStr">
        <is>
          <t>FL_POLIMI-LC_GroundFloor</t>
        </is>
      </c>
      <c r="C208" s="2" t="n">
        <v>4</v>
      </c>
      <c r="D208" s="2" t="inlineStr">
        <is>
          <t>dtu_MT_POLIMI_CLS-0.05</t>
        </is>
      </c>
      <c r="E208" s="2" t="inlineStr">
        <is>
          <t>dtu_MT_POLIMI_CLS</t>
        </is>
      </c>
      <c r="F208" s="2" t="n">
        <v>0.05</v>
      </c>
      <c r="G208" s="2" t="n">
        <v>1.046</v>
      </c>
      <c r="H208" s="2" t="n">
        <v>2300</v>
      </c>
      <c r="I208" s="2" t="n">
        <v>657</v>
      </c>
      <c r="J208" s="2" t="n">
        <v>0.95</v>
      </c>
      <c r="K208" s="2" t="n">
        <v>0.7</v>
      </c>
      <c r="L208" s="2" t="n">
        <v>0.7</v>
      </c>
      <c r="M208" s="2" t="inlineStr">
        <is>
          <t>MediumRough</t>
        </is>
      </c>
      <c r="N208" s="22">
        <f>IF(G208&gt;0,F208/G208,0)</f>
        <v/>
      </c>
    </row>
    <row r="209">
      <c r="A209" s="2" t="inlineStr">
        <is>
          <t>B10</t>
        </is>
      </c>
      <c r="B209" s="2" t="inlineStr">
        <is>
          <t>FL_POLIMI-LC_GroundFloor</t>
        </is>
      </c>
      <c r="C209" s="2" t="n">
        <v>5</v>
      </c>
      <c r="D209" s="2" t="inlineStr">
        <is>
          <t>dtu_MT_POLIMI_Camera d'aria fortemente ventilata-0.35</t>
        </is>
      </c>
      <c r="E209" s="2" t="inlineStr">
        <is>
          <t>dtu_MT_POLIMI_Camera d'aria fortemente ventilata</t>
        </is>
      </c>
      <c r="F209" s="2" t="n">
        <v>0.35</v>
      </c>
      <c r="G209" s="2" t="n">
        <v>0.285</v>
      </c>
      <c r="H209" s="2" t="n">
        <v>1</v>
      </c>
      <c r="I209" s="2" t="n">
        <v>1004</v>
      </c>
      <c r="J209" s="2" t="n">
        <v>0.7</v>
      </c>
      <c r="K209" s="2" t="n">
        <v>0.7</v>
      </c>
      <c r="L209" s="2" t="n">
        <v>0.7</v>
      </c>
      <c r="M209" s="2" t="inlineStr">
        <is>
          <t>MediumRough</t>
        </is>
      </c>
      <c r="N209" s="22">
        <f>IF(G209&gt;0,F209/G209,0)</f>
        <v/>
      </c>
    </row>
    <row r="210">
      <c r="A210" s="2" t="inlineStr">
        <is>
          <t>B10</t>
        </is>
      </c>
      <c r="B210" s="2" t="inlineStr">
        <is>
          <t>FL_POLIMI-LC_GroundFloor</t>
        </is>
      </c>
      <c r="C210" s="2" t="n">
        <v>6</v>
      </c>
      <c r="D210" s="2" t="inlineStr">
        <is>
          <t>dtu_MT_POLIMI_Magrone-0.1</t>
        </is>
      </c>
      <c r="E210" s="2" t="inlineStr">
        <is>
          <t>dtu_MT_POLIMI_Magrone</t>
        </is>
      </c>
      <c r="F210" s="2" t="n">
        <v>0.1</v>
      </c>
      <c r="G210" s="2" t="n">
        <v>1.046</v>
      </c>
      <c r="H210" s="2" t="n">
        <v>2300</v>
      </c>
      <c r="I210" s="2" t="n">
        <v>657</v>
      </c>
      <c r="J210" s="2" t="n">
        <v>0.95</v>
      </c>
      <c r="K210" s="2" t="n">
        <v>0.7</v>
      </c>
      <c r="L210" s="2" t="n">
        <v>0.7</v>
      </c>
      <c r="M210" s="2" t="inlineStr">
        <is>
          <t>MediumRough</t>
        </is>
      </c>
      <c r="N210" s="22">
        <f>IF(G210&gt;0,F210/G210,0)</f>
        <v/>
      </c>
    </row>
    <row r="211">
      <c r="A211" s="2" t="inlineStr">
        <is>
          <t>B10</t>
        </is>
      </c>
      <c r="B211" s="2" t="inlineStr">
        <is>
          <t>FL_POLIMI-LC_GroundFloor</t>
        </is>
      </c>
      <c r="C211" s="2" t="n">
        <v>7</v>
      </c>
      <c r="D211" s="2" t="inlineStr">
        <is>
          <t>dtu_MT_Ghiaia-0.2</t>
        </is>
      </c>
      <c r="E211" s="2" t="inlineStr">
        <is>
          <t>dtu_MT_Ghiaia</t>
        </is>
      </c>
      <c r="F211" s="2" t="n">
        <v>0.2</v>
      </c>
      <c r="G211" s="2" t="n">
        <v>1.2</v>
      </c>
      <c r="H211" s="2" t="n">
        <v>1700</v>
      </c>
      <c r="I211" s="2" t="n">
        <v>1000</v>
      </c>
      <c r="J211" s="2" t="n">
        <v>0.95</v>
      </c>
      <c r="K211" s="2" t="n">
        <v>0.7</v>
      </c>
      <c r="L211" s="2" t="n">
        <v>0.7</v>
      </c>
      <c r="M211" s="2" t="inlineStr">
        <is>
          <t>MediumRough</t>
        </is>
      </c>
      <c r="N211" s="22">
        <f>IF(G211&gt;0,F211/G211,0)</f>
        <v/>
      </c>
    </row>
    <row r="212">
      <c r="A212" s="2" t="inlineStr">
        <is>
          <t>B10</t>
        </is>
      </c>
      <c r="B212" s="2" t="inlineStr">
        <is>
          <t>FL_POLIMI-LC_InternalFloor_IH-IH_Toilet</t>
        </is>
      </c>
      <c r="C212" s="2" t="n">
        <v>1</v>
      </c>
      <c r="D212" s="2" t="inlineStr">
        <is>
          <t>dtu_MT_POLIMI_Piastrelle-0.01</t>
        </is>
      </c>
      <c r="E212" s="2" t="inlineStr">
        <is>
          <t>dtu_MT_POLIMI_Piastrelle</t>
        </is>
      </c>
      <c r="F212" s="2" t="n">
        <v>0.01</v>
      </c>
      <c r="G212" s="2" t="n">
        <v>1.3</v>
      </c>
      <c r="H212" s="2" t="n">
        <v>2300</v>
      </c>
      <c r="I212" s="2" t="n">
        <v>839</v>
      </c>
      <c r="J212" s="2" t="n">
        <v>0.9</v>
      </c>
      <c r="K212" s="2" t="n">
        <v>0.7</v>
      </c>
      <c r="L212" s="2" t="n">
        <v>0.7</v>
      </c>
      <c r="M212" s="2" t="inlineStr">
        <is>
          <t>MediumRough</t>
        </is>
      </c>
      <c r="N212" s="22">
        <f>IF(G212&gt;0,F212/G212,0)</f>
        <v/>
      </c>
    </row>
    <row r="213">
      <c r="A213" s="2" t="inlineStr">
        <is>
          <t>B10</t>
        </is>
      </c>
      <c r="B213" s="2" t="inlineStr">
        <is>
          <t>FL_POLIMI-LC_InternalFloor_IH-IH_Toilet</t>
        </is>
      </c>
      <c r="C213" s="2" t="n">
        <v>2</v>
      </c>
      <c r="D213" s="2" t="inlineStr">
        <is>
          <t>dtu_MT_Massetto-0.15</t>
        </is>
      </c>
      <c r="E213" s="2" t="inlineStr">
        <is>
          <t>dtu_MT_Massetto</t>
        </is>
      </c>
      <c r="F213" s="2" t="n">
        <v>0.15</v>
      </c>
      <c r="G213" s="2" t="n">
        <v>1.2</v>
      </c>
      <c r="H213" s="2" t="n">
        <v>1700</v>
      </c>
      <c r="I213" s="2" t="n">
        <v>1000</v>
      </c>
      <c r="J213" s="2" t="n">
        <v>0.95</v>
      </c>
      <c r="K213" s="2" t="n">
        <v>0.7</v>
      </c>
      <c r="L213" s="2" t="n">
        <v>0.7</v>
      </c>
      <c r="M213" s="2" t="inlineStr">
        <is>
          <t>MediumRough</t>
        </is>
      </c>
      <c r="N213" s="22">
        <f>IF(G213&gt;0,F213/G213,0)</f>
        <v/>
      </c>
    </row>
    <row r="214">
      <c r="A214" s="2" t="inlineStr">
        <is>
          <t>B10</t>
        </is>
      </c>
      <c r="B214" s="2" t="inlineStr">
        <is>
          <t>FL_POLIMI-LC_InternalFloor_IH-IH_Toilet</t>
        </is>
      </c>
      <c r="C214" s="2" t="n">
        <v>3</v>
      </c>
      <c r="D214" s="2" t="inlineStr">
        <is>
          <t>dtu_MT_POLIMI_Isolante rigido-0.1</t>
        </is>
      </c>
      <c r="E214" s="2" t="inlineStr">
        <is>
          <t>dtu_MT_POLIMI_Isolante rigido</t>
        </is>
      </c>
      <c r="F214" s="2" t="n">
        <v>0.1</v>
      </c>
      <c r="G214" s="2" t="n">
        <v>0.04</v>
      </c>
      <c r="H214" s="2" t="n">
        <v>30</v>
      </c>
      <c r="I214" s="2" t="n">
        <v>1452</v>
      </c>
      <c r="J214" s="2" t="n">
        <v>0.95</v>
      </c>
      <c r="K214" s="2" t="n">
        <v>0.7</v>
      </c>
      <c r="L214" s="2" t="n">
        <v>0.7</v>
      </c>
      <c r="M214" s="2" t="inlineStr">
        <is>
          <t>MediumRough</t>
        </is>
      </c>
      <c r="N214" s="22">
        <f>IF(G214&gt;0,F214/G214,0)</f>
        <v/>
      </c>
    </row>
    <row r="215">
      <c r="A215" s="2" t="inlineStr">
        <is>
          <t>B10</t>
        </is>
      </c>
      <c r="B215" s="2" t="inlineStr">
        <is>
          <t>FL_POLIMI-LC_InternalFloor_IH-IH_Toilet</t>
        </is>
      </c>
      <c r="C215" s="2" t="n">
        <v>4</v>
      </c>
      <c r="D215" s="2" t="inlineStr">
        <is>
          <t>dtu_MT_Solaio laterocemento-0.15</t>
        </is>
      </c>
      <c r="E215" s="2" t="inlineStr">
        <is>
          <t>dtu_MT_Solaio laterocemento</t>
        </is>
      </c>
      <c r="F215" s="2" t="n">
        <v>0.15</v>
      </c>
      <c r="G215" s="2" t="n">
        <v>0.66</v>
      </c>
      <c r="H215" s="2" t="n">
        <v>1100</v>
      </c>
      <c r="I215" s="2" t="n">
        <v>839</v>
      </c>
      <c r="J215" s="2" t="n">
        <v>0.95</v>
      </c>
      <c r="K215" s="2" t="n">
        <v>0.7</v>
      </c>
      <c r="L215" s="2" t="n">
        <v>0.7</v>
      </c>
      <c r="M215" s="2" t="inlineStr">
        <is>
          <t>MediumRough</t>
        </is>
      </c>
      <c r="N215" s="22">
        <f>IF(G215&gt;0,F215/G215,0)</f>
        <v/>
      </c>
    </row>
    <row r="216">
      <c r="A216" s="2" t="inlineStr">
        <is>
          <t>B10</t>
        </is>
      </c>
      <c r="B216" s="2" t="inlineStr">
        <is>
          <t>FL_POLIMI-LC_InternalFloor_IH-IH_Toilet</t>
        </is>
      </c>
      <c r="C216" s="2" t="n">
        <v>5</v>
      </c>
      <c r="D216" s="2" t="inlineStr">
        <is>
          <t>dtu_MT__POLIMI_Intonaco interno-0.02</t>
        </is>
      </c>
      <c r="E216" s="2" t="inlineStr">
        <is>
          <t>dtu_MT__POLIMI_Intonaco interno</t>
        </is>
      </c>
      <c r="F216" s="2" t="n">
        <v>0.02</v>
      </c>
      <c r="G216" s="2" t="n">
        <v>0.35</v>
      </c>
      <c r="H216" s="2" t="n">
        <v>1200</v>
      </c>
      <c r="I216" s="2" t="n">
        <v>999</v>
      </c>
      <c r="J216" s="2" t="n">
        <v>0.9</v>
      </c>
      <c r="K216" s="2" t="n">
        <v>0.7</v>
      </c>
      <c r="L216" s="2" t="n">
        <v>0.7</v>
      </c>
      <c r="M216" s="2" t="inlineStr">
        <is>
          <t>MediumRough</t>
        </is>
      </c>
      <c r="N216" s="22">
        <f>IF(G216&gt;0,F216/G216,0)</f>
        <v/>
      </c>
    </row>
    <row r="217">
      <c r="A217" s="2" t="inlineStr">
        <is>
          <t>B10</t>
        </is>
      </c>
      <c r="B217" s="2" t="inlineStr">
        <is>
          <t>RF_POLIMI-LC_IH-E</t>
        </is>
      </c>
      <c r="C217" s="2" t="n">
        <v>1</v>
      </c>
      <c r="D217" s="2" t="inlineStr">
        <is>
          <t>dtu_MT_POLIMI_Ghiaia-0.08</t>
        </is>
      </c>
      <c r="E217" s="2" t="inlineStr">
        <is>
          <t>dtu_MT_POLIMI_Ghiaia</t>
        </is>
      </c>
      <c r="F217" s="2" t="n">
        <v>0.08</v>
      </c>
      <c r="G217" s="2" t="n">
        <v>1.2</v>
      </c>
      <c r="H217" s="2" t="n">
        <v>1700</v>
      </c>
      <c r="I217" s="2" t="n">
        <v>1000</v>
      </c>
      <c r="J217" s="2" t="n">
        <v>0.95</v>
      </c>
      <c r="K217" s="2" t="n">
        <v>0.7</v>
      </c>
      <c r="L217" s="2" t="n">
        <v>0.7</v>
      </c>
      <c r="M217" s="2" t="inlineStr">
        <is>
          <t>MediumRough</t>
        </is>
      </c>
      <c r="N217" s="22">
        <f>IF(G217&gt;0,F217/G217,0)</f>
        <v/>
      </c>
    </row>
    <row r="218">
      <c r="A218" s="2" t="inlineStr">
        <is>
          <t>B10</t>
        </is>
      </c>
      <c r="B218" s="2" t="inlineStr">
        <is>
          <t>RF_POLIMI-LC_IH-E</t>
        </is>
      </c>
      <c r="C218" s="2" t="n">
        <v>2</v>
      </c>
      <c r="D218" s="2" t="inlineStr">
        <is>
          <t>dtu_MT_POLIMI_Massetto-0.12</t>
        </is>
      </c>
      <c r="E218" s="2" t="inlineStr">
        <is>
          <t>dtu_MT_POLIMI_Massetto</t>
        </is>
      </c>
      <c r="F218" s="2" t="n">
        <v>0.12</v>
      </c>
      <c r="G218" s="2" t="n">
        <v>1.2</v>
      </c>
      <c r="H218" s="2" t="n">
        <v>1700</v>
      </c>
      <c r="I218" s="2" t="n">
        <v>1000</v>
      </c>
      <c r="J218" s="2" t="n">
        <v>0.95</v>
      </c>
      <c r="K218" s="2" t="n">
        <v>0.7</v>
      </c>
      <c r="L218" s="2" t="n">
        <v>0.7</v>
      </c>
      <c r="M218" s="2" t="inlineStr">
        <is>
          <t>MediumRough</t>
        </is>
      </c>
      <c r="N218" s="22">
        <f>IF(G218&gt;0,F218/G218,0)</f>
        <v/>
      </c>
    </row>
    <row r="219">
      <c r="A219" s="2" t="inlineStr">
        <is>
          <t>B10</t>
        </is>
      </c>
      <c r="B219" s="2" t="inlineStr">
        <is>
          <t>RF_POLIMI-LC_IH-E</t>
        </is>
      </c>
      <c r="C219" s="2" t="n">
        <v>3</v>
      </c>
      <c r="D219" s="2" t="inlineStr">
        <is>
          <t>dtu_MT_POLIMI_Isolante rigido-0.08</t>
        </is>
      </c>
      <c r="E219" s="2" t="inlineStr">
        <is>
          <t>dtu_MT_POLIMI_Isolante rigido</t>
        </is>
      </c>
      <c r="F219" s="2" t="n">
        <v>0.08</v>
      </c>
      <c r="G219" s="2" t="n">
        <v>0.04</v>
      </c>
      <c r="H219" s="2" t="n">
        <v>30</v>
      </c>
      <c r="I219" s="2" t="n">
        <v>1452</v>
      </c>
      <c r="J219" s="2" t="n">
        <v>0.95</v>
      </c>
      <c r="K219" s="2" t="n">
        <v>0.7</v>
      </c>
      <c r="L219" s="2" t="n">
        <v>0.7</v>
      </c>
      <c r="M219" s="2" t="inlineStr">
        <is>
          <t>MediumRough</t>
        </is>
      </c>
      <c r="N219" s="22">
        <f>IF(G219&gt;0,F219/G219,0)</f>
        <v/>
      </c>
    </row>
    <row r="220">
      <c r="A220" s="2" t="inlineStr">
        <is>
          <t>B10</t>
        </is>
      </c>
      <c r="B220" s="2" t="inlineStr">
        <is>
          <t>RF_POLIMI-LC_IH-E</t>
        </is>
      </c>
      <c r="C220" s="2" t="n">
        <v>4</v>
      </c>
      <c r="D220" s="2" t="inlineStr">
        <is>
          <t>dtu_MT_POLIMI_CLS-0.25</t>
        </is>
      </c>
      <c r="E220" s="2" t="inlineStr">
        <is>
          <t>dtu_MT_POLIMI_CLS</t>
        </is>
      </c>
      <c r="F220" s="2" t="n">
        <v>0.25</v>
      </c>
      <c r="G220" s="2" t="n">
        <v>1.046</v>
      </c>
      <c r="H220" s="2" t="n">
        <v>2300</v>
      </c>
      <c r="I220" s="2" t="n">
        <v>657</v>
      </c>
      <c r="J220" s="2" t="n">
        <v>0.95</v>
      </c>
      <c r="K220" s="2" t="n">
        <v>0.7</v>
      </c>
      <c r="L220" s="2" t="n">
        <v>0.7</v>
      </c>
      <c r="M220" s="2" t="inlineStr">
        <is>
          <t>MediumRough</t>
        </is>
      </c>
      <c r="N220" s="22">
        <f>IF(G220&gt;0,F220/G220,0)</f>
        <v/>
      </c>
    </row>
  </sheetData>
  <autoFilter ref="A1:N22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25"/>
  <cols>
    <col width="8" customWidth="1" min="1" max="1"/>
    <col width="46" customWidth="1" min="2" max="2"/>
    <col width="30" customWidth="1" min="3" max="3"/>
    <col width="52" customWidth="1" min="4" max="4"/>
    <col width="10" customWidth="1" min="5" max="5"/>
    <col width="8" customWidth="1" min="6" max="7"/>
    <col width="11" customWidth="1" min="8" max="9"/>
  </cols>
  <sheetData>
    <row r="1" ht="39.4" customHeight="1">
      <c r="A1" s="1" t="inlineStr">
        <is>
          <t>Building</t>
        </is>
      </c>
      <c r="B1" s="1" t="inlineStr">
        <is>
          <t>Construction (E+)</t>
        </is>
      </c>
      <c r="C1" s="1" t="inlineStr">
        <is>
          <t>BIM source</t>
        </is>
      </c>
      <c r="D1" s="1" t="inlineStr">
        <is>
          <t>Layer(s)</t>
        </is>
      </c>
      <c r="E1" s="1" t="inlineStr">
        <is>
          <t>U-factor (W/m²K)</t>
        </is>
      </c>
      <c r="F1" s="1" t="inlineStr">
        <is>
          <t>SHGC</t>
        </is>
      </c>
      <c r="G1" s="1" t="inlineStr">
        <is>
          <t>VT</t>
        </is>
      </c>
      <c r="H1" s="1" t="inlineStr">
        <is>
          <t>N fenestration surfaces</t>
        </is>
      </c>
      <c r="I1" s="1" t="inlineStr">
        <is>
          <t>N with external blind</t>
        </is>
      </c>
    </row>
    <row r="2">
      <c r="A2" s="2" t="inlineStr">
        <is>
          <t>B09</t>
        </is>
      </c>
      <c r="B2" s="2" t="inlineStr">
        <is>
          <t>Generic Double Pane</t>
        </is>
      </c>
      <c r="C2" s="2" t="inlineStr">
        <is>
          <t>HB default</t>
        </is>
      </c>
      <c r="D2" s="2" t="inlineStr">
        <is>
          <t>Generic Low-e Glass / Generic Window Air Gap / Generic Clear Glass</t>
        </is>
      </c>
      <c r="E2" s="2" t="n"/>
      <c r="F2" s="2" t="n"/>
      <c r="G2" s="2" t="n"/>
      <c r="H2" s="2" t="n">
        <v>23</v>
      </c>
      <c r="I2" s="2" t="n">
        <v>0</v>
      </c>
    </row>
    <row r="3">
      <c r="A3" s="2" t="inlineStr">
        <is>
          <t>B09</t>
        </is>
      </c>
      <c r="B3" s="2" t="inlineStr">
        <is>
          <t>windowConstruction_U0.9_SHGC0.67_VT0.8</t>
        </is>
      </c>
      <c r="C3" s="2" t="inlineStr">
        <is>
          <t>IfcWindow / IfcDoor pset</t>
        </is>
      </c>
      <c r="D3" s="2" t="inlineStr">
        <is>
          <t>windowConstruction_U0.9_SHGC0.67_VT0.8 Material</t>
        </is>
      </c>
      <c r="E3" s="2" t="n">
        <v>0.9</v>
      </c>
      <c r="F3" s="2" t="n">
        <v>0.67</v>
      </c>
      <c r="G3" s="2" t="n">
        <v>0.8</v>
      </c>
      <c r="H3" s="2" t="n">
        <v>1</v>
      </c>
      <c r="I3" s="2" t="n">
        <v>0</v>
      </c>
    </row>
    <row r="4">
      <c r="A4" s="2" t="inlineStr">
        <is>
          <t>B09</t>
        </is>
      </c>
      <c r="B4" s="2" t="inlineStr">
        <is>
          <t>curtainWallWindowConstruction_U0.9_SHGC0.67_VT0.8</t>
        </is>
      </c>
      <c r="C4" s="2" t="inlineStr">
        <is>
          <t>Curtain wall (IfcWall …CurtainWall pset)</t>
        </is>
      </c>
      <c r="D4" s="2" t="inlineStr">
        <is>
          <t>curtainWallWindowConstruction_U0.9_SHGC0.67_VT0.8 Material</t>
        </is>
      </c>
      <c r="E4" s="2" t="n">
        <v>0.9</v>
      </c>
      <c r="F4" s="2" t="n">
        <v>0.67</v>
      </c>
      <c r="G4" s="2" t="n">
        <v>0.8</v>
      </c>
      <c r="H4" s="2" t="n">
        <v>31</v>
      </c>
      <c r="I4" s="2" t="n">
        <v>11</v>
      </c>
    </row>
    <row r="5">
      <c r="A5" s="2" t="inlineStr">
        <is>
          <t>B10</t>
        </is>
      </c>
      <c r="B5" s="2" t="inlineStr">
        <is>
          <t>windowConstruction_U0.9_SHGC0.67_VT0.8</t>
        </is>
      </c>
      <c r="C5" s="2" t="inlineStr">
        <is>
          <t>IfcWindow / IfcDoor pset</t>
        </is>
      </c>
      <c r="D5" s="2" t="inlineStr">
        <is>
          <t>windowConstruction_U0.9_SHGC0.67_VT0.8 Material</t>
        </is>
      </c>
      <c r="E5" s="2" t="n">
        <v>0.9</v>
      </c>
      <c r="F5" s="2" t="n">
        <v>0.67</v>
      </c>
      <c r="G5" s="2" t="n">
        <v>0.8</v>
      </c>
      <c r="H5" s="2" t="n">
        <v>2</v>
      </c>
      <c r="I5" s="2" t="n">
        <v>1</v>
      </c>
    </row>
    <row r="6">
      <c r="A6" s="2" t="inlineStr">
        <is>
          <t>B10</t>
        </is>
      </c>
      <c r="B6" s="2" t="inlineStr">
        <is>
          <t>windowConstruction_U0.9_SHGC0.67_VT0.58</t>
        </is>
      </c>
      <c r="C6" s="2" t="inlineStr">
        <is>
          <t>IfcWindow / IfcDoor pset</t>
        </is>
      </c>
      <c r="D6" s="2" t="inlineStr">
        <is>
          <t>windowConstruction_U0.9_SHGC0.67_VT0.58 Material</t>
        </is>
      </c>
      <c r="E6" s="2" t="n">
        <v>0.9</v>
      </c>
      <c r="F6" s="2" t="n">
        <v>0.67</v>
      </c>
      <c r="G6" s="2" t="n">
        <v>0.58</v>
      </c>
      <c r="H6" s="2" t="n">
        <v>2</v>
      </c>
      <c r="I6" s="2" t="n">
        <v>0</v>
      </c>
    </row>
    <row r="7">
      <c r="A7" s="2" t="inlineStr">
        <is>
          <t>B10</t>
        </is>
      </c>
      <c r="B7" s="2" t="inlineStr">
        <is>
          <t>curtainWallWindowConstruction_U0.9_SHGC0.67_VT0.8</t>
        </is>
      </c>
      <c r="C7" s="2" t="inlineStr">
        <is>
          <t>Curtain wall (IfcWall …CurtainWall pset)</t>
        </is>
      </c>
      <c r="D7" s="2" t="inlineStr">
        <is>
          <t>curtainWallWindowConstruction_U0.9_SHGC0.67_VT0.8 Material</t>
        </is>
      </c>
      <c r="E7" s="2" t="n">
        <v>0.9</v>
      </c>
      <c r="F7" s="2" t="n">
        <v>0.67</v>
      </c>
      <c r="G7" s="2" t="n">
        <v>0.8</v>
      </c>
      <c r="H7" s="2" t="n">
        <v>12</v>
      </c>
      <c r="I7" s="2" t="n">
        <v>1</v>
      </c>
    </row>
    <row r="8">
      <c r="A8" s="2" t="inlineStr">
        <is>
          <t>B10</t>
        </is>
      </c>
      <c r="B8" s="2" t="inlineStr">
        <is>
          <t>curtainWallWindowConstruction_U0.9_SHGC0.67_VT0.58</t>
        </is>
      </c>
      <c r="C8" s="2" t="inlineStr">
        <is>
          <t>Curtain wall (IfcWall …CurtainWall pset)</t>
        </is>
      </c>
      <c r="D8" s="2" t="inlineStr">
        <is>
          <t>curtainWallWindowConstruction_U0.9_SHGC0.67_VT0.58 Material</t>
        </is>
      </c>
      <c r="E8" s="2" t="n">
        <v>0.9</v>
      </c>
      <c r="F8" s="2" t="n">
        <v>0.67</v>
      </c>
      <c r="G8" s="2" t="n">
        <v>0.58</v>
      </c>
      <c r="H8" s="2" t="n">
        <v>9</v>
      </c>
      <c r="I8" s="2" t="n">
        <v>2</v>
      </c>
    </row>
  </sheetData>
  <autoFilter ref="A1:I8"/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25"/>
  <cols>
    <col width="12" customWidth="1" min="1" max="1"/>
    <col width="32" customWidth="1" min="2" max="2"/>
    <col width="30" customWidth="1" min="3" max="3"/>
    <col width="9" customWidth="1" min="4" max="4"/>
    <col width="8" customWidth="1" min="5" max="5"/>
    <col width="9" customWidth="1" min="6" max="6"/>
    <col width="15" customWidth="1" min="7" max="7"/>
    <col width="26" customWidth="1" min="8" max="8"/>
    <col width="11" customWidth="1" min="9" max="10"/>
    <col width="70" customWidth="1" min="11" max="11"/>
  </cols>
  <sheetData>
    <row r="1" ht="39.4" customHeight="1">
      <c r="A1" s="1" t="inlineStr">
        <is>
          <t>Family</t>
        </is>
      </c>
      <c r="B1" s="1" t="inlineStr">
        <is>
          <t>Source</t>
        </is>
      </c>
      <c r="C1" s="1" t="inlineStr">
        <is>
          <t>Schedule id (E+ Name)</t>
        </is>
      </c>
      <c r="D1" s="1" t="inlineStr">
        <is>
          <t>N day schedules</t>
        </is>
      </c>
      <c r="E1" s="1" t="inlineStr">
        <is>
          <t>N rules</t>
        </is>
      </c>
      <c r="F1" s="1" t="inlineStr">
        <is>
          <t>Max value</t>
        </is>
      </c>
      <c r="G1" s="1" t="inlineStr">
        <is>
          <t>E+ object</t>
        </is>
      </c>
      <c r="H1" s="1" t="inlineStr">
        <is>
          <t>ScheduleTypeLimits</t>
        </is>
      </c>
      <c r="I1" s="1" t="inlineStr">
        <is>
          <t>B09: references in IDF</t>
        </is>
      </c>
      <c r="J1" s="1" t="inlineStr">
        <is>
          <t>B10: references in IDF</t>
        </is>
      </c>
      <c r="K1" s="1" t="inlineStr">
        <is>
          <t>Change in calibrated IDF (Field_1 …)</t>
        </is>
      </c>
    </row>
    <row r="2">
      <c r="A2" s="2" t="inlineStr">
        <is>
          <t>Occupancy</t>
        </is>
      </c>
      <c r="B2" s="2" t="inlineStr">
        <is>
          <t>Schedules_Occupancy_PoliMi_LC.json</t>
        </is>
      </c>
      <c r="C2" s="2" t="inlineStr">
        <is>
          <t>OccSch_A0.1/A0.2</t>
        </is>
      </c>
      <c r="D2" s="2" t="n">
        <v>18</v>
      </c>
      <c r="E2" s="2" t="n">
        <v>18</v>
      </c>
      <c r="F2" s="2" t="n">
        <v>0.33</v>
      </c>
      <c r="G2" s="2" t="inlineStr">
        <is>
          <t>Schedule:Compact</t>
        </is>
      </c>
      <c r="H2" s="2" t="inlineStr">
        <is>
          <t>occupancyScheduleTypeLimit</t>
        </is>
      </c>
      <c r="I2" s="2" t="n">
        <v>0</v>
      </c>
      <c r="J2" s="2" t="n">
        <v>2</v>
      </c>
      <c r="K2" s="2" t="n"/>
    </row>
    <row r="3">
      <c r="A3" s="2" t="inlineStr">
        <is>
          <t>Occupancy</t>
        </is>
      </c>
      <c r="B3" s="2" t="inlineStr">
        <is>
          <t>Schedules_Occupancy_PoliMi_LC.json</t>
        </is>
      </c>
      <c r="C3" s="2" t="inlineStr">
        <is>
          <t>OccSch_A1.1</t>
        </is>
      </c>
      <c r="D3" s="2" t="n">
        <v>18</v>
      </c>
      <c r="E3" s="2" t="n">
        <v>18</v>
      </c>
      <c r="F3" s="2" t="n">
        <v>1</v>
      </c>
      <c r="G3" s="2" t="inlineStr">
        <is>
          <t>Schedule:Compact</t>
        </is>
      </c>
      <c r="H3" s="2" t="inlineStr">
        <is>
          <t>occupancyScheduleTypeLimit</t>
        </is>
      </c>
      <c r="I3" s="2" t="n">
        <v>0</v>
      </c>
      <c r="J3" s="2" t="n">
        <v>1</v>
      </c>
      <c r="K3" s="2" t="n"/>
    </row>
    <row r="4">
      <c r="A4" s="2" t="inlineStr">
        <is>
          <t>Occupancy</t>
        </is>
      </c>
      <c r="B4" s="2" t="inlineStr">
        <is>
          <t>Schedules_Occupancy_PoliMi_LC.json</t>
        </is>
      </c>
      <c r="C4" s="2" t="inlineStr">
        <is>
          <t>OccSch_A1.2</t>
        </is>
      </c>
      <c r="D4" s="2" t="n">
        <v>18</v>
      </c>
      <c r="E4" s="2" t="n">
        <v>18</v>
      </c>
      <c r="F4" s="2" t="n">
        <v>0.59</v>
      </c>
      <c r="G4" s="2" t="inlineStr">
        <is>
          <t>Schedule:Compact</t>
        </is>
      </c>
      <c r="H4" s="2" t="inlineStr">
        <is>
          <t>occupancyScheduleTypeLimit</t>
        </is>
      </c>
      <c r="I4" s="2" t="n">
        <v>0</v>
      </c>
      <c r="J4" s="2" t="n">
        <v>1</v>
      </c>
      <c r="K4" s="2" t="n"/>
    </row>
    <row r="5">
      <c r="A5" s="2" t="inlineStr">
        <is>
          <t>Occupancy</t>
        </is>
      </c>
      <c r="B5" s="2" t="inlineStr">
        <is>
          <t>Schedules_Occupancy_PoliMi_LC.json</t>
        </is>
      </c>
      <c r="C5" s="2" t="inlineStr">
        <is>
          <t>OccSch_A1.3</t>
        </is>
      </c>
      <c r="D5" s="2" t="n">
        <v>18</v>
      </c>
      <c r="E5" s="2" t="n">
        <v>18</v>
      </c>
      <c r="F5" s="2" t="n">
        <v>0.47</v>
      </c>
      <c r="G5" s="2" t="inlineStr">
        <is>
          <t>Schedule:Compact</t>
        </is>
      </c>
      <c r="H5" s="2" t="inlineStr">
        <is>
          <t>occupancyScheduleTypeLimit</t>
        </is>
      </c>
      <c r="I5" s="2" t="n">
        <v>0</v>
      </c>
      <c r="J5" s="2" t="n">
        <v>1</v>
      </c>
      <c r="K5" s="2" t="n"/>
    </row>
    <row r="6">
      <c r="A6" s="2" t="inlineStr">
        <is>
          <t>Occupancy</t>
        </is>
      </c>
      <c r="B6" s="2" t="inlineStr">
        <is>
          <t>Schedules_Occupancy_PoliMi_LC.json</t>
        </is>
      </c>
      <c r="C6" s="2" t="inlineStr">
        <is>
          <t>OccSch_B0.1</t>
        </is>
      </c>
      <c r="D6" s="2" t="n">
        <v>18</v>
      </c>
      <c r="E6" s="2" t="n">
        <v>18</v>
      </c>
      <c r="F6" s="2" t="n">
        <v>1.07</v>
      </c>
      <c r="G6" s="2" t="inlineStr">
        <is>
          <t>Schedule:Compact</t>
        </is>
      </c>
      <c r="H6" s="2" t="inlineStr">
        <is>
          <t>occupancyScheduleTypeLimit</t>
        </is>
      </c>
      <c r="I6" s="2" t="n">
        <v>2</v>
      </c>
      <c r="J6" s="2" t="n">
        <v>0</v>
      </c>
      <c r="K6" s="2" t="n"/>
    </row>
    <row r="7">
      <c r="A7" s="2" t="inlineStr">
        <is>
          <t>Occupancy</t>
        </is>
      </c>
      <c r="B7" s="2" t="inlineStr">
        <is>
          <t>Schedules_Occupancy_PoliMi_LC.json</t>
        </is>
      </c>
      <c r="C7" s="2" t="inlineStr">
        <is>
          <t>OccSch_B0.2</t>
        </is>
      </c>
      <c r="D7" s="2" t="n">
        <v>18</v>
      </c>
      <c r="E7" s="2" t="n">
        <v>18</v>
      </c>
      <c r="F7" s="2" t="n">
        <v>0.47</v>
      </c>
      <c r="G7" s="2" t="inlineStr">
        <is>
          <t>Schedule:Compact</t>
        </is>
      </c>
      <c r="H7" s="2" t="inlineStr">
        <is>
          <t>occupancyScheduleTypeLimit</t>
        </is>
      </c>
      <c r="I7" s="2" t="n">
        <v>1</v>
      </c>
      <c r="J7" s="2" t="n">
        <v>0</v>
      </c>
      <c r="K7" s="2" t="n"/>
    </row>
    <row r="8">
      <c r="A8" s="2" t="inlineStr">
        <is>
          <t>Occupancy</t>
        </is>
      </c>
      <c r="B8" s="2" t="inlineStr">
        <is>
          <t>Schedules_Occupancy_PoliMi_LC.json</t>
        </is>
      </c>
      <c r="C8" s="2" t="inlineStr">
        <is>
          <t>OccSch_B0.3</t>
        </is>
      </c>
      <c r="D8" s="2" t="n">
        <v>18</v>
      </c>
      <c r="E8" s="2" t="n">
        <v>18</v>
      </c>
      <c r="F8" s="2" t="n">
        <v>0.39</v>
      </c>
      <c r="G8" s="2" t="inlineStr">
        <is>
          <t>Schedule:Compact</t>
        </is>
      </c>
      <c r="H8" s="2" t="inlineStr">
        <is>
          <t>occupancyScheduleTypeLimit</t>
        </is>
      </c>
      <c r="I8" s="2" t="n">
        <v>1</v>
      </c>
      <c r="J8" s="2" t="n">
        <v>0</v>
      </c>
      <c r="K8" s="2" t="n"/>
    </row>
    <row r="9">
      <c r="A9" s="2" t="inlineStr">
        <is>
          <t>Occupancy</t>
        </is>
      </c>
      <c r="B9" s="2" t="inlineStr">
        <is>
          <t>Schedules_Occupancy_PoliMi_LC.json</t>
        </is>
      </c>
      <c r="C9" s="2" t="inlineStr">
        <is>
          <t>OccSch_B0.4</t>
        </is>
      </c>
      <c r="D9" s="2" t="n">
        <v>18</v>
      </c>
      <c r="E9" s="2" t="n">
        <v>18</v>
      </c>
      <c r="F9" s="2" t="n">
        <v>0.78</v>
      </c>
      <c r="G9" s="2" t="inlineStr">
        <is>
          <t>Schedule:Compact</t>
        </is>
      </c>
      <c r="H9" s="2" t="inlineStr">
        <is>
          <t>occupancyScheduleTypeLimit</t>
        </is>
      </c>
      <c r="I9" s="2" t="n">
        <v>1</v>
      </c>
      <c r="J9" s="2" t="n">
        <v>0</v>
      </c>
      <c r="K9" s="2" t="n"/>
    </row>
    <row r="10">
      <c r="A10" s="2" t="inlineStr">
        <is>
          <t>Occupancy</t>
        </is>
      </c>
      <c r="B10" s="2" t="inlineStr">
        <is>
          <t>Schedules_Occupancy_PoliMi_LC.json</t>
        </is>
      </c>
      <c r="C10" s="2" t="inlineStr">
        <is>
          <t>OccSch_B0.5</t>
        </is>
      </c>
      <c r="D10" s="2" t="n">
        <v>18</v>
      </c>
      <c r="E10" s="2" t="n">
        <v>18</v>
      </c>
      <c r="F10" s="2" t="n">
        <v>0.31</v>
      </c>
      <c r="G10" s="2" t="inlineStr">
        <is>
          <t>Schedule:Compact</t>
        </is>
      </c>
      <c r="H10" s="2" t="inlineStr">
        <is>
          <t>occupancyScheduleTypeLimit</t>
        </is>
      </c>
      <c r="I10" s="2" t="n">
        <v>1</v>
      </c>
      <c r="J10" s="2" t="n">
        <v>0</v>
      </c>
      <c r="K10" s="2" t="n"/>
    </row>
    <row r="11">
      <c r="A11" s="2" t="inlineStr">
        <is>
          <t>Occupancy</t>
        </is>
      </c>
      <c r="B11" s="2" t="inlineStr">
        <is>
          <t>Schedules_Occupancy_PoliMi_LC.json</t>
        </is>
      </c>
      <c r="C11" s="2" t="inlineStr">
        <is>
          <t>OccSch_B0.6</t>
        </is>
      </c>
      <c r="D11" s="2" t="n">
        <v>18</v>
      </c>
      <c r="E11" s="2" t="n">
        <v>18</v>
      </c>
      <c r="F11" s="2" t="n">
        <v>0.44</v>
      </c>
      <c r="G11" s="2" t="inlineStr">
        <is>
          <t>Schedule:Compact</t>
        </is>
      </c>
      <c r="H11" s="2" t="inlineStr">
        <is>
          <t>occupancyScheduleTypeLimit</t>
        </is>
      </c>
      <c r="I11" s="2" t="n">
        <v>1</v>
      </c>
      <c r="J11" s="2" t="n">
        <v>0</v>
      </c>
      <c r="K11" s="2" t="n"/>
    </row>
    <row r="12">
      <c r="A12" s="2" t="inlineStr">
        <is>
          <t>Occupancy</t>
        </is>
      </c>
      <c r="B12" s="2" t="inlineStr">
        <is>
          <t>Schedules_Occupancy_PoliMi_LC.json</t>
        </is>
      </c>
      <c r="C12" s="2" t="inlineStr">
        <is>
          <t>OccSch_B0.7</t>
        </is>
      </c>
      <c r="D12" s="2" t="n">
        <v>18</v>
      </c>
      <c r="E12" s="2" t="n">
        <v>18</v>
      </c>
      <c r="F12" s="2" t="n">
        <v>0.77</v>
      </c>
      <c r="G12" s="2" t="inlineStr">
        <is>
          <t>Schedule:Compact</t>
        </is>
      </c>
      <c r="H12" s="2" t="inlineStr">
        <is>
          <t>occupancyScheduleTypeLimit</t>
        </is>
      </c>
      <c r="I12" s="2" t="n">
        <v>1</v>
      </c>
      <c r="J12" s="2" t="n">
        <v>0</v>
      </c>
      <c r="K12" s="2" t="n"/>
    </row>
    <row r="13">
      <c r="A13" s="2" t="inlineStr">
        <is>
          <t>Occupancy</t>
        </is>
      </c>
      <c r="B13" s="2" t="inlineStr">
        <is>
          <t>Schedules_Occupancy_PoliMi_LC.json</t>
        </is>
      </c>
      <c r="C13" s="2" t="inlineStr">
        <is>
          <t>OccSch_B1.1</t>
        </is>
      </c>
      <c r="D13" s="2" t="n">
        <v>18</v>
      </c>
      <c r="E13" s="2" t="n">
        <v>18</v>
      </c>
      <c r="F13" s="2" t="n">
        <v>0.75</v>
      </c>
      <c r="G13" s="2" t="inlineStr">
        <is>
          <t>Schedule:Compact</t>
        </is>
      </c>
      <c r="H13" s="2" t="inlineStr">
        <is>
          <t>occupancyScheduleTypeLimit</t>
        </is>
      </c>
      <c r="I13" s="2" t="n">
        <v>1</v>
      </c>
      <c r="J13" s="2" t="n">
        <v>0</v>
      </c>
      <c r="K13" s="2" t="n"/>
    </row>
    <row r="14">
      <c r="A14" s="2" t="inlineStr">
        <is>
          <t>Occupancy</t>
        </is>
      </c>
      <c r="B14" s="2" t="inlineStr">
        <is>
          <t>Schedules_Occupancy_PoliMi_LC.json</t>
        </is>
      </c>
      <c r="C14" s="2" t="inlineStr">
        <is>
          <t>OccSch_B1.2</t>
        </is>
      </c>
      <c r="D14" s="2" t="n">
        <v>18</v>
      </c>
      <c r="E14" s="2" t="n">
        <v>18</v>
      </c>
      <c r="F14" s="2" t="n">
        <v>0.64</v>
      </c>
      <c r="G14" s="2" t="inlineStr">
        <is>
          <t>Schedule:Compact</t>
        </is>
      </c>
      <c r="H14" s="2" t="inlineStr">
        <is>
          <t>occupancyScheduleTypeLimit</t>
        </is>
      </c>
      <c r="I14" s="2" t="n">
        <v>1</v>
      </c>
      <c r="J14" s="2" t="n">
        <v>0</v>
      </c>
      <c r="K14" s="2" t="n"/>
    </row>
    <row r="15">
      <c r="A15" s="2" t="inlineStr">
        <is>
          <t>Occupancy</t>
        </is>
      </c>
      <c r="B15" s="2" t="inlineStr">
        <is>
          <t>Schedules_Occupancy_PoliMi_LC.json</t>
        </is>
      </c>
      <c r="C15" s="2" t="inlineStr">
        <is>
          <t>OccSch_B1.3</t>
        </is>
      </c>
      <c r="D15" s="2" t="n">
        <v>18</v>
      </c>
      <c r="E15" s="2" t="n">
        <v>18</v>
      </c>
      <c r="F15" s="2" t="n">
        <v>0.86</v>
      </c>
      <c r="G15" s="2" t="inlineStr">
        <is>
          <t>Schedule:Compact</t>
        </is>
      </c>
      <c r="H15" s="2" t="inlineStr">
        <is>
          <t>occupancyScheduleTypeLimit</t>
        </is>
      </c>
      <c r="I15" s="2" t="n">
        <v>1</v>
      </c>
      <c r="J15" s="2" t="n">
        <v>0</v>
      </c>
      <c r="K15" s="2" t="n"/>
    </row>
    <row r="16">
      <c r="A16" s="2" t="inlineStr">
        <is>
          <t>Occupancy</t>
        </is>
      </c>
      <c r="B16" s="2" t="inlineStr">
        <is>
          <t>Schedules_Occupancy_PoliMi_LC.json</t>
        </is>
      </c>
      <c r="C16" s="2" t="inlineStr">
        <is>
          <t>OccSch_B1.4</t>
        </is>
      </c>
      <c r="D16" s="2" t="n">
        <v>18</v>
      </c>
      <c r="E16" s="2" t="n">
        <v>18</v>
      </c>
      <c r="F16" s="2" t="n">
        <v>0.76</v>
      </c>
      <c r="G16" s="2" t="inlineStr">
        <is>
          <t>Schedule:Compact</t>
        </is>
      </c>
      <c r="H16" s="2" t="inlineStr">
        <is>
          <t>occupancyScheduleTypeLimit</t>
        </is>
      </c>
      <c r="I16" s="2" t="n">
        <v>1</v>
      </c>
      <c r="J16" s="2" t="n">
        <v>0</v>
      </c>
      <c r="K16" s="2" t="n"/>
    </row>
    <row r="17">
      <c r="A17" s="2" t="inlineStr">
        <is>
          <t>Occupancy</t>
        </is>
      </c>
      <c r="B17" s="2" t="inlineStr">
        <is>
          <t>Schedules_Occupancy_PoliMi_LC.json</t>
        </is>
      </c>
      <c r="C17" s="2" t="inlineStr">
        <is>
          <t>OccSch_B1.5</t>
        </is>
      </c>
      <c r="D17" s="2" t="n">
        <v>18</v>
      </c>
      <c r="E17" s="2" t="n">
        <v>18</v>
      </c>
      <c r="F17" s="2" t="n">
        <v>0.37</v>
      </c>
      <c r="G17" s="2" t="inlineStr">
        <is>
          <t>Schedule:Compact</t>
        </is>
      </c>
      <c r="H17" s="2" t="inlineStr">
        <is>
          <t>occupancyScheduleTypeLimit</t>
        </is>
      </c>
      <c r="I17" s="2" t="n">
        <v>1</v>
      </c>
      <c r="J17" s="2" t="n">
        <v>0</v>
      </c>
      <c r="K17" s="2" t="n"/>
    </row>
    <row r="18">
      <c r="A18" s="2" t="inlineStr">
        <is>
          <t>Occupancy</t>
        </is>
      </c>
      <c r="B18" s="2" t="inlineStr">
        <is>
          <t>Schedules_Occupancy_PoliMi_LC.json</t>
        </is>
      </c>
      <c r="C18" s="2" t="inlineStr">
        <is>
          <t>OccSch_B2.1</t>
        </is>
      </c>
      <c r="D18" s="2" t="n">
        <v>18</v>
      </c>
      <c r="E18" s="2" t="n">
        <v>18</v>
      </c>
      <c r="F18" s="2" t="n">
        <v>0.93</v>
      </c>
      <c r="G18" s="2" t="inlineStr">
        <is>
          <t>Schedule:Compact</t>
        </is>
      </c>
      <c r="H18" s="2" t="inlineStr">
        <is>
          <t>occupancyScheduleTypeLimit</t>
        </is>
      </c>
      <c r="I18" s="2" t="n">
        <v>0</v>
      </c>
      <c r="J18" s="2" t="n">
        <v>0</v>
      </c>
      <c r="K18" s="2" t="n"/>
    </row>
    <row r="19">
      <c r="A19" s="2" t="inlineStr">
        <is>
          <t>Occupancy</t>
        </is>
      </c>
      <c r="B19" s="2" t="inlineStr">
        <is>
          <t>Schedules_Occupancy_PoliMi_LC.json</t>
        </is>
      </c>
      <c r="C19" s="2" t="inlineStr">
        <is>
          <t>OccSch_B2.2</t>
        </is>
      </c>
      <c r="D19" s="2" t="n">
        <v>18</v>
      </c>
      <c r="E19" s="2" t="n">
        <v>18</v>
      </c>
      <c r="F19" s="2" t="n">
        <v>0.57</v>
      </c>
      <c r="G19" s="2" t="inlineStr">
        <is>
          <t>Schedule:Compact</t>
        </is>
      </c>
      <c r="H19" s="2" t="inlineStr">
        <is>
          <t>occupancyScheduleTypeLimit</t>
        </is>
      </c>
      <c r="I19" s="2" t="n">
        <v>1</v>
      </c>
      <c r="J19" s="2" t="n">
        <v>0</v>
      </c>
      <c r="K19" s="2" t="n"/>
    </row>
    <row r="20">
      <c r="A20" s="2" t="inlineStr">
        <is>
          <t>Occupancy</t>
        </is>
      </c>
      <c r="B20" s="2" t="inlineStr">
        <is>
          <t>Schedules_Occupancy_PoliMi_LC.json</t>
        </is>
      </c>
      <c r="C20" s="2" t="inlineStr">
        <is>
          <t>OccSch_B2.3</t>
        </is>
      </c>
      <c r="D20" s="2" t="n">
        <v>18</v>
      </c>
      <c r="E20" s="2" t="n">
        <v>18</v>
      </c>
      <c r="F20" s="2" t="n">
        <v>0.66</v>
      </c>
      <c r="G20" s="2" t="inlineStr">
        <is>
          <t>Schedule:Compact</t>
        </is>
      </c>
      <c r="H20" s="2" t="inlineStr">
        <is>
          <t>occupancyScheduleTypeLimit</t>
        </is>
      </c>
      <c r="I20" s="2" t="n">
        <v>1</v>
      </c>
      <c r="J20" s="2" t="n">
        <v>0</v>
      </c>
      <c r="K20" s="2" t="n"/>
    </row>
    <row r="21">
      <c r="A21" s="2" t="inlineStr">
        <is>
          <t>Occupancy</t>
        </is>
      </c>
      <c r="B21" s="2" t="inlineStr">
        <is>
          <t>Schedules_Occupancy_PoliMi_LC.json</t>
        </is>
      </c>
      <c r="C21" s="2" t="inlineStr">
        <is>
          <t>OccSch_B2.4</t>
        </is>
      </c>
      <c r="D21" s="2" t="n">
        <v>18</v>
      </c>
      <c r="E21" s="2" t="n">
        <v>18</v>
      </c>
      <c r="F21" s="2" t="n">
        <v>0.15</v>
      </c>
      <c r="G21" s="2" t="inlineStr">
        <is>
          <t>Schedule:Compact</t>
        </is>
      </c>
      <c r="H21" s="2" t="inlineStr">
        <is>
          <t>occupancyScheduleTypeLimit</t>
        </is>
      </c>
      <c r="I21" s="2" t="n">
        <v>1</v>
      </c>
      <c r="J21" s="2" t="n">
        <v>0</v>
      </c>
      <c r="K21" s="2" t="n"/>
    </row>
    <row r="22">
      <c r="A22" s="2" t="inlineStr">
        <is>
          <t>Occupancy</t>
        </is>
      </c>
      <c r="B22" s="2" t="inlineStr">
        <is>
          <t>Schedules_Occupancy_PoliMi_LC.json</t>
        </is>
      </c>
      <c r="C22" s="2" t="inlineStr">
        <is>
          <t>OccSch_B2.5</t>
        </is>
      </c>
      <c r="D22" s="2" t="n">
        <v>18</v>
      </c>
      <c r="E22" s="2" t="n">
        <v>18</v>
      </c>
      <c r="F22" s="2" t="n">
        <v>0.66</v>
      </c>
      <c r="G22" s="2" t="inlineStr">
        <is>
          <t>Schedule:Compact</t>
        </is>
      </c>
      <c r="H22" s="2" t="inlineStr">
        <is>
          <t>occupancyScheduleTypeLimit</t>
        </is>
      </c>
      <c r="I22" s="2" t="n">
        <v>1</v>
      </c>
      <c r="J22" s="2" t="n">
        <v>0</v>
      </c>
      <c r="K22" s="2" t="n"/>
    </row>
    <row r="23">
      <c r="A23" s="2" t="inlineStr">
        <is>
          <t>Occupancy</t>
        </is>
      </c>
      <c r="B23" s="2" t="inlineStr">
        <is>
          <t>Schedules_Occupancy_PoliMi_LC.json</t>
        </is>
      </c>
      <c r="C23" s="2" t="inlineStr">
        <is>
          <t>OccSch_B2.6</t>
        </is>
      </c>
      <c r="D23" s="2" t="n">
        <v>18</v>
      </c>
      <c r="E23" s="2" t="n">
        <v>18</v>
      </c>
      <c r="F23" s="2" t="n">
        <v>0.35</v>
      </c>
      <c r="G23" s="2" t="inlineStr">
        <is>
          <t>Schedule:Compact</t>
        </is>
      </c>
      <c r="H23" s="2" t="inlineStr">
        <is>
          <t>occupancyScheduleTypeLimit</t>
        </is>
      </c>
      <c r="I23" s="2" t="n">
        <v>1</v>
      </c>
      <c r="J23" s="2" t="n">
        <v>0</v>
      </c>
      <c r="K23" s="2" t="n"/>
    </row>
    <row r="24">
      <c r="A24" s="2" t="inlineStr">
        <is>
          <t>Occupancy</t>
        </is>
      </c>
      <c r="B24" s="2" t="inlineStr">
        <is>
          <t>Schedules_Occupancy_PoliMi_LC.json</t>
        </is>
      </c>
      <c r="C24" s="2" t="inlineStr">
        <is>
          <t>OccSch_Unoccupied</t>
        </is>
      </c>
      <c r="D24" s="2" t="n">
        <v>1</v>
      </c>
      <c r="E24" s="2" t="n">
        <v>1</v>
      </c>
      <c r="F24" s="2" t="n">
        <v>0</v>
      </c>
      <c r="G24" s="2" t="inlineStr">
        <is>
          <t>Schedule:Compact</t>
        </is>
      </c>
      <c r="H24" s="2" t="inlineStr">
        <is>
          <t>occupancyScheduleTypeLimit</t>
        </is>
      </c>
      <c r="I24" s="2" t="n">
        <v>47</v>
      </c>
      <c r="J24" s="2" t="n">
        <v>15</v>
      </c>
      <c r="K24" s="2" t="n"/>
    </row>
    <row r="25">
      <c r="A25" s="2" t="inlineStr">
        <is>
          <t>Equipment</t>
        </is>
      </c>
      <c r="B25" s="2" t="inlineStr">
        <is>
          <t>Schedules_Equipment_PoliMi_LC.json</t>
        </is>
      </c>
      <c r="C25" s="2" t="inlineStr">
        <is>
          <t>EqpSch_A0.1/A0.2</t>
        </is>
      </c>
      <c r="D25" s="2" t="n">
        <v>18</v>
      </c>
      <c r="E25" s="2" t="n">
        <v>18</v>
      </c>
      <c r="F25" s="2" t="n">
        <v>0.33</v>
      </c>
      <c r="G25" s="2" t="inlineStr">
        <is>
          <t>Schedule:Compact</t>
        </is>
      </c>
      <c r="H25" s="2" t="inlineStr">
        <is>
          <t>equipmentScheduleTypeLimit</t>
        </is>
      </c>
      <c r="I25" s="2" t="n">
        <v>0</v>
      </c>
      <c r="J25" s="2" t="n">
        <v>1</v>
      </c>
      <c r="K25" s="2" t="n"/>
    </row>
    <row r="26">
      <c r="A26" s="2" t="inlineStr">
        <is>
          <t>Equipment</t>
        </is>
      </c>
      <c r="B26" s="2" t="inlineStr">
        <is>
          <t>Schedules_Equipment_PoliMi_LC.json</t>
        </is>
      </c>
      <c r="C26" s="2" t="inlineStr">
        <is>
          <t>EqpSch_A1.1</t>
        </is>
      </c>
      <c r="D26" s="2" t="n">
        <v>18</v>
      </c>
      <c r="E26" s="2" t="n">
        <v>18</v>
      </c>
      <c r="F26" s="2" t="n">
        <v>1</v>
      </c>
      <c r="G26" s="2" t="inlineStr">
        <is>
          <t>Schedule:Compact</t>
        </is>
      </c>
      <c r="H26" s="2" t="inlineStr">
        <is>
          <t>equipmentScheduleTypeLimit</t>
        </is>
      </c>
      <c r="I26" s="2" t="n">
        <v>0</v>
      </c>
      <c r="J26" s="2" t="n">
        <v>1</v>
      </c>
      <c r="K26" s="2" t="n"/>
    </row>
    <row r="27">
      <c r="A27" s="2" t="inlineStr">
        <is>
          <t>Equipment</t>
        </is>
      </c>
      <c r="B27" s="2" t="inlineStr">
        <is>
          <t>Schedules_Equipment_PoliMi_LC.json</t>
        </is>
      </c>
      <c r="C27" s="2" t="inlineStr">
        <is>
          <t>EqpSch_A1.2</t>
        </is>
      </c>
      <c r="D27" s="2" t="n">
        <v>18</v>
      </c>
      <c r="E27" s="2" t="n">
        <v>18</v>
      </c>
      <c r="F27" s="2" t="n">
        <v>0.59</v>
      </c>
      <c r="G27" s="2" t="inlineStr">
        <is>
          <t>Schedule:Compact</t>
        </is>
      </c>
      <c r="H27" s="2" t="inlineStr">
        <is>
          <t>equipmentScheduleTypeLimit</t>
        </is>
      </c>
      <c r="I27" s="2" t="n">
        <v>0</v>
      </c>
      <c r="J27" s="2" t="n">
        <v>1</v>
      </c>
      <c r="K27" s="2" t="n"/>
    </row>
    <row r="28">
      <c r="A28" s="2" t="inlineStr">
        <is>
          <t>Equipment</t>
        </is>
      </c>
      <c r="B28" s="2" t="inlineStr">
        <is>
          <t>Schedules_Equipment_PoliMi_LC.json</t>
        </is>
      </c>
      <c r="C28" s="2" t="inlineStr">
        <is>
          <t>EqpSch_A1.3</t>
        </is>
      </c>
      <c r="D28" s="2" t="n">
        <v>18</v>
      </c>
      <c r="E28" s="2" t="n">
        <v>18</v>
      </c>
      <c r="F28" s="2" t="n">
        <v>0.47</v>
      </c>
      <c r="G28" s="2" t="inlineStr">
        <is>
          <t>Schedule:Compact</t>
        </is>
      </c>
      <c r="H28" s="2" t="inlineStr">
        <is>
          <t>equipmentScheduleTypeLimit</t>
        </is>
      </c>
      <c r="I28" s="2" t="n">
        <v>0</v>
      </c>
      <c r="J28" s="2" t="n">
        <v>1</v>
      </c>
      <c r="K28" s="2" t="n"/>
    </row>
    <row r="29">
      <c r="A29" s="2" t="inlineStr">
        <is>
          <t>Equipment</t>
        </is>
      </c>
      <c r="B29" s="2" t="inlineStr">
        <is>
          <t>Schedules_Equipment_PoliMi_LC.json</t>
        </is>
      </c>
      <c r="C29" s="2" t="inlineStr">
        <is>
          <t>EqpSch_B0.1</t>
        </is>
      </c>
      <c r="D29" s="2" t="n">
        <v>18</v>
      </c>
      <c r="E29" s="2" t="n">
        <v>18</v>
      </c>
      <c r="F29" s="2" t="n">
        <v>1.07</v>
      </c>
      <c r="G29" s="2" t="inlineStr">
        <is>
          <t>Schedule:Compact</t>
        </is>
      </c>
      <c r="H29" s="2" t="inlineStr">
        <is>
          <t>equipmentScheduleTypeLimit</t>
        </is>
      </c>
      <c r="I29" s="2" t="n">
        <v>0</v>
      </c>
      <c r="J29" s="2" t="n">
        <v>0</v>
      </c>
      <c r="K29" s="2" t="n"/>
    </row>
    <row r="30">
      <c r="A30" s="2" t="inlineStr">
        <is>
          <t>Equipment</t>
        </is>
      </c>
      <c r="B30" s="2" t="inlineStr">
        <is>
          <t>Schedules_Equipment_PoliMi_LC.json</t>
        </is>
      </c>
      <c r="C30" s="2" t="inlineStr">
        <is>
          <t>EqpSch_B0.2</t>
        </is>
      </c>
      <c r="D30" s="2" t="n">
        <v>18</v>
      </c>
      <c r="E30" s="2" t="n">
        <v>18</v>
      </c>
      <c r="F30" s="2" t="n">
        <v>0.47</v>
      </c>
      <c r="G30" s="2" t="inlineStr">
        <is>
          <t>Schedule:Compact</t>
        </is>
      </c>
      <c r="H30" s="2" t="inlineStr">
        <is>
          <t>equipmentScheduleTypeLimit</t>
        </is>
      </c>
      <c r="I30" s="2" t="n">
        <v>0</v>
      </c>
      <c r="J30" s="2" t="n">
        <v>0</v>
      </c>
      <c r="K30" s="2" t="n"/>
    </row>
    <row r="31">
      <c r="A31" s="2" t="inlineStr">
        <is>
          <t>Equipment</t>
        </is>
      </c>
      <c r="B31" s="2" t="inlineStr">
        <is>
          <t>Schedules_Equipment_PoliMi_LC.json</t>
        </is>
      </c>
      <c r="C31" s="2" t="inlineStr">
        <is>
          <t>EqpSch_B0.3</t>
        </is>
      </c>
      <c r="D31" s="2" t="n">
        <v>18</v>
      </c>
      <c r="E31" s="2" t="n">
        <v>18</v>
      </c>
      <c r="F31" s="2" t="n">
        <v>0.39</v>
      </c>
      <c r="G31" s="2" t="inlineStr">
        <is>
          <t>Schedule:Compact</t>
        </is>
      </c>
      <c r="H31" s="2" t="inlineStr">
        <is>
          <t>equipmentScheduleTypeLimit</t>
        </is>
      </c>
      <c r="I31" s="2" t="n">
        <v>0</v>
      </c>
      <c r="J31" s="2" t="n">
        <v>0</v>
      </c>
      <c r="K31" s="2" t="n"/>
    </row>
    <row r="32">
      <c r="A32" s="2" t="inlineStr">
        <is>
          <t>Equipment</t>
        </is>
      </c>
      <c r="B32" s="2" t="inlineStr">
        <is>
          <t>Schedules_Equipment_PoliMi_LC.json</t>
        </is>
      </c>
      <c r="C32" s="2" t="inlineStr">
        <is>
          <t>EqpSch_B0.4</t>
        </is>
      </c>
      <c r="D32" s="2" t="n">
        <v>18</v>
      </c>
      <c r="E32" s="2" t="n">
        <v>18</v>
      </c>
      <c r="F32" s="2" t="n">
        <v>0.78</v>
      </c>
      <c r="G32" s="2" t="inlineStr">
        <is>
          <t>Schedule:Compact</t>
        </is>
      </c>
      <c r="H32" s="2" t="inlineStr">
        <is>
          <t>equipmentScheduleTypeLimit</t>
        </is>
      </c>
      <c r="I32" s="2" t="n">
        <v>0</v>
      </c>
      <c r="J32" s="2" t="n">
        <v>0</v>
      </c>
      <c r="K32" s="2" t="n"/>
    </row>
    <row r="33">
      <c r="A33" s="2" t="inlineStr">
        <is>
          <t>Equipment</t>
        </is>
      </c>
      <c r="B33" s="2" t="inlineStr">
        <is>
          <t>Schedules_Equipment_PoliMi_LC.json</t>
        </is>
      </c>
      <c r="C33" s="2" t="inlineStr">
        <is>
          <t>EqpSch_B0.5</t>
        </is>
      </c>
      <c r="D33" s="2" t="n">
        <v>18</v>
      </c>
      <c r="E33" s="2" t="n">
        <v>18</v>
      </c>
      <c r="F33" s="2" t="n">
        <v>0.31</v>
      </c>
      <c r="G33" s="2" t="inlineStr">
        <is>
          <t>Schedule:Compact</t>
        </is>
      </c>
      <c r="H33" s="2" t="inlineStr">
        <is>
          <t>equipmentScheduleTypeLimit</t>
        </is>
      </c>
      <c r="I33" s="2" t="n">
        <v>0</v>
      </c>
      <c r="J33" s="2" t="n">
        <v>0</v>
      </c>
      <c r="K33" s="2" t="n"/>
    </row>
    <row r="34">
      <c r="A34" s="2" t="inlineStr">
        <is>
          <t>Equipment</t>
        </is>
      </c>
      <c r="B34" s="2" t="inlineStr">
        <is>
          <t>Schedules_Equipment_PoliMi_LC.json</t>
        </is>
      </c>
      <c r="C34" s="2" t="inlineStr">
        <is>
          <t>EqpSch_B0.6</t>
        </is>
      </c>
      <c r="D34" s="2" t="n">
        <v>18</v>
      </c>
      <c r="E34" s="2" t="n">
        <v>18</v>
      </c>
      <c r="F34" s="2" t="n">
        <v>0.44</v>
      </c>
      <c r="G34" s="2" t="inlineStr">
        <is>
          <t>Schedule:Compact</t>
        </is>
      </c>
      <c r="H34" s="2" t="inlineStr">
        <is>
          <t>equipmentScheduleTypeLimit</t>
        </is>
      </c>
      <c r="I34" s="2" t="n">
        <v>0</v>
      </c>
      <c r="J34" s="2" t="n">
        <v>0</v>
      </c>
      <c r="K34" s="2" t="n"/>
    </row>
    <row r="35">
      <c r="A35" s="2" t="inlineStr">
        <is>
          <t>Equipment</t>
        </is>
      </c>
      <c r="B35" s="2" t="inlineStr">
        <is>
          <t>Schedules_Equipment_PoliMi_LC.json</t>
        </is>
      </c>
      <c r="C35" s="2" t="inlineStr">
        <is>
          <t>EqpSch_B0.7</t>
        </is>
      </c>
      <c r="D35" s="2" t="n">
        <v>18</v>
      </c>
      <c r="E35" s="2" t="n">
        <v>18</v>
      </c>
      <c r="F35" s="2" t="n">
        <v>0.77</v>
      </c>
      <c r="G35" s="2" t="inlineStr">
        <is>
          <t>Schedule:Compact</t>
        </is>
      </c>
      <c r="H35" s="2" t="inlineStr">
        <is>
          <t>equipmentScheduleTypeLimit</t>
        </is>
      </c>
      <c r="I35" s="2" t="n">
        <v>0</v>
      </c>
      <c r="J35" s="2" t="n">
        <v>0</v>
      </c>
      <c r="K35" s="2" t="n"/>
    </row>
    <row r="36">
      <c r="A36" s="2" t="inlineStr">
        <is>
          <t>Equipment</t>
        </is>
      </c>
      <c r="B36" s="2" t="inlineStr">
        <is>
          <t>Schedules_Equipment_PoliMi_LC.json</t>
        </is>
      </c>
      <c r="C36" s="2" t="inlineStr">
        <is>
          <t>EqpSch_B1.1</t>
        </is>
      </c>
      <c r="D36" s="2" t="n">
        <v>18</v>
      </c>
      <c r="E36" s="2" t="n">
        <v>18</v>
      </c>
      <c r="F36" s="2" t="n">
        <v>0.75</v>
      </c>
      <c r="G36" s="2" t="inlineStr">
        <is>
          <t>Schedule:Compact</t>
        </is>
      </c>
      <c r="H36" s="2" t="inlineStr">
        <is>
          <t>equipmentScheduleTypeLimit</t>
        </is>
      </c>
      <c r="I36" s="2" t="n">
        <v>0</v>
      </c>
      <c r="J36" s="2" t="n">
        <v>0</v>
      </c>
      <c r="K36" s="2" t="n"/>
    </row>
    <row r="37">
      <c r="A37" s="2" t="inlineStr">
        <is>
          <t>Equipment</t>
        </is>
      </c>
      <c r="B37" s="2" t="inlineStr">
        <is>
          <t>Schedules_Equipment_PoliMi_LC.json</t>
        </is>
      </c>
      <c r="C37" s="2" t="inlineStr">
        <is>
          <t>EqpSch_B1.2</t>
        </is>
      </c>
      <c r="D37" s="2" t="n">
        <v>18</v>
      </c>
      <c r="E37" s="2" t="n">
        <v>18</v>
      </c>
      <c r="F37" s="2" t="n">
        <v>0.64</v>
      </c>
      <c r="G37" s="2" t="inlineStr">
        <is>
          <t>Schedule:Compact</t>
        </is>
      </c>
      <c r="H37" s="2" t="inlineStr">
        <is>
          <t>equipmentScheduleTypeLimit</t>
        </is>
      </c>
      <c r="I37" s="2" t="n">
        <v>0</v>
      </c>
      <c r="J37" s="2" t="n">
        <v>0</v>
      </c>
      <c r="K37" s="2" t="n"/>
    </row>
    <row r="38">
      <c r="A38" s="2" t="inlineStr">
        <is>
          <t>Equipment</t>
        </is>
      </c>
      <c r="B38" s="2" t="inlineStr">
        <is>
          <t>Schedules_Equipment_PoliMi_LC.json</t>
        </is>
      </c>
      <c r="C38" s="2" t="inlineStr">
        <is>
          <t>EqpSch_B1.3</t>
        </is>
      </c>
      <c r="D38" s="2" t="n">
        <v>18</v>
      </c>
      <c r="E38" s="2" t="n">
        <v>18</v>
      </c>
      <c r="F38" s="2" t="n">
        <v>0.86</v>
      </c>
      <c r="G38" s="2" t="inlineStr">
        <is>
          <t>Schedule:Compact</t>
        </is>
      </c>
      <c r="H38" s="2" t="inlineStr">
        <is>
          <t>equipmentScheduleTypeLimit</t>
        </is>
      </c>
      <c r="I38" s="2" t="n">
        <v>0</v>
      </c>
      <c r="J38" s="2" t="n">
        <v>0</v>
      </c>
      <c r="K38" s="2" t="n"/>
    </row>
    <row r="39">
      <c r="A39" s="2" t="inlineStr">
        <is>
          <t>Equipment</t>
        </is>
      </c>
      <c r="B39" s="2" t="inlineStr">
        <is>
          <t>Schedules_Equipment_PoliMi_LC.json</t>
        </is>
      </c>
      <c r="C39" s="2" t="inlineStr">
        <is>
          <t>EqpSch_B1.4</t>
        </is>
      </c>
      <c r="D39" s="2" t="n">
        <v>18</v>
      </c>
      <c r="E39" s="2" t="n">
        <v>18</v>
      </c>
      <c r="F39" s="2" t="n">
        <v>0.76</v>
      </c>
      <c r="G39" s="2" t="inlineStr">
        <is>
          <t>Schedule:Compact</t>
        </is>
      </c>
      <c r="H39" s="2" t="inlineStr">
        <is>
          <t>equipmentScheduleTypeLimit</t>
        </is>
      </c>
      <c r="I39" s="2" t="n">
        <v>0</v>
      </c>
      <c r="J39" s="2" t="n">
        <v>0</v>
      </c>
      <c r="K39" s="2" t="n"/>
    </row>
    <row r="40">
      <c r="A40" s="2" t="inlineStr">
        <is>
          <t>Equipment</t>
        </is>
      </c>
      <c r="B40" s="2" t="inlineStr">
        <is>
          <t>Schedules_Equipment_PoliMi_LC.json</t>
        </is>
      </c>
      <c r="C40" s="2" t="inlineStr">
        <is>
          <t>EqpSch_B1.5</t>
        </is>
      </c>
      <c r="D40" s="2" t="n">
        <v>18</v>
      </c>
      <c r="E40" s="2" t="n">
        <v>18</v>
      </c>
      <c r="F40" s="2" t="n">
        <v>0.37</v>
      </c>
      <c r="G40" s="2" t="inlineStr">
        <is>
          <t>Schedule:Compact</t>
        </is>
      </c>
      <c r="H40" s="2" t="inlineStr">
        <is>
          <t>equipmentScheduleTypeLimit</t>
        </is>
      </c>
      <c r="I40" s="2" t="n">
        <v>0</v>
      </c>
      <c r="J40" s="2" t="n">
        <v>0</v>
      </c>
      <c r="K40" s="2" t="n"/>
    </row>
    <row r="41">
      <c r="A41" s="2" t="inlineStr">
        <is>
          <t>Equipment</t>
        </is>
      </c>
      <c r="B41" s="2" t="inlineStr">
        <is>
          <t>Schedules_Equipment_PoliMi_LC.json</t>
        </is>
      </c>
      <c r="C41" s="2" t="inlineStr">
        <is>
          <t>EqpSch_B2.1</t>
        </is>
      </c>
      <c r="D41" s="2" t="n">
        <v>18</v>
      </c>
      <c r="E41" s="2" t="n">
        <v>18</v>
      </c>
      <c r="F41" s="2" t="n">
        <v>0.93</v>
      </c>
      <c r="G41" s="2" t="inlineStr">
        <is>
          <t>Schedule:Compact</t>
        </is>
      </c>
      <c r="H41" s="2" t="inlineStr">
        <is>
          <t>equipmentScheduleTypeLimit</t>
        </is>
      </c>
      <c r="I41" s="2" t="n">
        <v>0</v>
      </c>
      <c r="J41" s="2" t="n">
        <v>0</v>
      </c>
      <c r="K41" s="2" t="n"/>
    </row>
    <row r="42">
      <c r="A42" s="2" t="inlineStr">
        <is>
          <t>Equipment</t>
        </is>
      </c>
      <c r="B42" s="2" t="inlineStr">
        <is>
          <t>Schedules_Equipment_PoliMi_LC.json</t>
        </is>
      </c>
      <c r="C42" s="2" t="inlineStr">
        <is>
          <t>EqpSch_B2.2</t>
        </is>
      </c>
      <c r="D42" s="2" t="n">
        <v>18</v>
      </c>
      <c r="E42" s="2" t="n">
        <v>18</v>
      </c>
      <c r="F42" s="2" t="n">
        <v>0.57</v>
      </c>
      <c r="G42" s="2" t="inlineStr">
        <is>
          <t>Schedule:Compact</t>
        </is>
      </c>
      <c r="H42" s="2" t="inlineStr">
        <is>
          <t>equipmentScheduleTypeLimit</t>
        </is>
      </c>
      <c r="I42" s="2" t="n">
        <v>0</v>
      </c>
      <c r="J42" s="2" t="n">
        <v>0</v>
      </c>
      <c r="K42" s="2" t="n"/>
    </row>
    <row r="43">
      <c r="A43" s="2" t="inlineStr">
        <is>
          <t>Equipment</t>
        </is>
      </c>
      <c r="B43" s="2" t="inlineStr">
        <is>
          <t>Schedules_Equipment_PoliMi_LC.json</t>
        </is>
      </c>
      <c r="C43" s="2" t="inlineStr">
        <is>
          <t>EqpSch_B2.3</t>
        </is>
      </c>
      <c r="D43" s="2" t="n">
        <v>18</v>
      </c>
      <c r="E43" s="2" t="n">
        <v>18</v>
      </c>
      <c r="F43" s="2" t="n">
        <v>0.66</v>
      </c>
      <c r="G43" s="2" t="inlineStr">
        <is>
          <t>Schedule:Compact</t>
        </is>
      </c>
      <c r="H43" s="2" t="inlineStr">
        <is>
          <t>equipmentScheduleTypeLimit</t>
        </is>
      </c>
      <c r="I43" s="2" t="n">
        <v>0</v>
      </c>
      <c r="J43" s="2" t="n">
        <v>0</v>
      </c>
      <c r="K43" s="2" t="n"/>
    </row>
    <row r="44">
      <c r="A44" s="2" t="inlineStr">
        <is>
          <t>Equipment</t>
        </is>
      </c>
      <c r="B44" s="2" t="inlineStr">
        <is>
          <t>Schedules_Equipment_PoliMi_LC.json</t>
        </is>
      </c>
      <c r="C44" s="2" t="inlineStr">
        <is>
          <t>EqpSch_B2.4</t>
        </is>
      </c>
      <c r="D44" s="2" t="n">
        <v>18</v>
      </c>
      <c r="E44" s="2" t="n">
        <v>18</v>
      </c>
      <c r="F44" s="2" t="n">
        <v>0.15</v>
      </c>
      <c r="G44" s="2" t="inlineStr">
        <is>
          <t>Schedule:Compact</t>
        </is>
      </c>
      <c r="H44" s="2" t="inlineStr">
        <is>
          <t>equipmentScheduleTypeLimit</t>
        </is>
      </c>
      <c r="I44" s="2" t="n">
        <v>0</v>
      </c>
      <c r="J44" s="2" t="n">
        <v>0</v>
      </c>
      <c r="K44" s="2" t="n"/>
    </row>
    <row r="45">
      <c r="A45" s="2" t="inlineStr">
        <is>
          <t>Equipment</t>
        </is>
      </c>
      <c r="B45" s="2" t="inlineStr">
        <is>
          <t>Schedules_Equipment_PoliMi_LC.json</t>
        </is>
      </c>
      <c r="C45" s="2" t="inlineStr">
        <is>
          <t>EqpSch_B2.5</t>
        </is>
      </c>
      <c r="D45" s="2" t="n">
        <v>18</v>
      </c>
      <c r="E45" s="2" t="n">
        <v>18</v>
      </c>
      <c r="F45" s="2" t="n">
        <v>0.66</v>
      </c>
      <c r="G45" s="2" t="inlineStr">
        <is>
          <t>Schedule:Compact</t>
        </is>
      </c>
      <c r="H45" s="2" t="inlineStr">
        <is>
          <t>equipmentScheduleTypeLimit</t>
        </is>
      </c>
      <c r="I45" s="2" t="n">
        <v>0</v>
      </c>
      <c r="J45" s="2" t="n">
        <v>0</v>
      </c>
      <c r="K45" s="2" t="n"/>
    </row>
    <row r="46">
      <c r="A46" s="2" t="inlineStr">
        <is>
          <t>Equipment</t>
        </is>
      </c>
      <c r="B46" s="2" t="inlineStr">
        <is>
          <t>Schedules_Equipment_PoliMi_LC.json</t>
        </is>
      </c>
      <c r="C46" s="2" t="inlineStr">
        <is>
          <t>EqpSch_B2.6</t>
        </is>
      </c>
      <c r="D46" s="2" t="n">
        <v>18</v>
      </c>
      <c r="E46" s="2" t="n">
        <v>18</v>
      </c>
      <c r="F46" s="2" t="n">
        <v>0.35</v>
      </c>
      <c r="G46" s="2" t="inlineStr">
        <is>
          <t>Schedule:Compact</t>
        </is>
      </c>
      <c r="H46" s="2" t="inlineStr">
        <is>
          <t>equipmentScheduleTypeLimit</t>
        </is>
      </c>
      <c r="I46" s="2" t="n">
        <v>0</v>
      </c>
      <c r="J46" s="2" t="n">
        <v>0</v>
      </c>
      <c r="K46" s="2" t="n"/>
    </row>
    <row r="47">
      <c r="A47" s="2" t="inlineStr">
        <is>
          <t>Equipment</t>
        </is>
      </c>
      <c r="B47" s="2" t="inlineStr">
        <is>
          <t>Schedules_Equipment_PoliMi_LC.json</t>
        </is>
      </c>
      <c r="C47" s="2" t="inlineStr">
        <is>
          <t>EqpSch_Unoccupied</t>
        </is>
      </c>
      <c r="D47" s="2" t="n">
        <v>1</v>
      </c>
      <c r="E47" s="2" t="n">
        <v>1</v>
      </c>
      <c r="F47" s="2" t="n">
        <v>0.05</v>
      </c>
      <c r="G47" s="2" t="inlineStr">
        <is>
          <t>Schedule:Compact</t>
        </is>
      </c>
      <c r="H47" s="2" t="inlineStr">
        <is>
          <t>equipmentScheduleTypeLimit</t>
        </is>
      </c>
      <c r="I47" s="2" t="n">
        <v>1</v>
      </c>
      <c r="J47" s="2" t="n">
        <v>5</v>
      </c>
      <c r="K47" s="2" t="n"/>
    </row>
    <row r="48">
      <c r="A48" s="2" t="inlineStr">
        <is>
          <t>Lighting</t>
        </is>
      </c>
      <c r="B48" s="2" t="inlineStr">
        <is>
          <t>Schedules_Lighting_PoliMi_LC.json</t>
        </is>
      </c>
      <c r="C48" s="2" t="inlineStr">
        <is>
          <t>LghSch_A0.1/A0.2</t>
        </is>
      </c>
      <c r="D48" s="2" t="n">
        <v>18</v>
      </c>
      <c r="E48" s="2" t="n">
        <v>18</v>
      </c>
      <c r="F48" s="2" t="n">
        <v>0.33</v>
      </c>
      <c r="G48" s="2" t="inlineStr">
        <is>
          <t>Schedule:Compact</t>
        </is>
      </c>
      <c r="H48" s="2" t="inlineStr">
        <is>
          <t>lightingScheduleTypeLimit</t>
        </is>
      </c>
      <c r="I48" s="2" t="n">
        <v>0</v>
      </c>
      <c r="J48" s="2" t="n">
        <v>1</v>
      </c>
      <c r="K48" s="2" t="n"/>
    </row>
    <row r="49">
      <c r="A49" s="2" t="inlineStr">
        <is>
          <t>Lighting</t>
        </is>
      </c>
      <c r="B49" s="2" t="inlineStr">
        <is>
          <t>Schedules_Lighting_PoliMi_LC.json</t>
        </is>
      </c>
      <c r="C49" s="2" t="inlineStr">
        <is>
          <t>LghSch_A1.1</t>
        </is>
      </c>
      <c r="D49" s="2" t="n">
        <v>18</v>
      </c>
      <c r="E49" s="2" t="n">
        <v>18</v>
      </c>
      <c r="F49" s="2" t="n">
        <v>1</v>
      </c>
      <c r="G49" s="2" t="inlineStr">
        <is>
          <t>Schedule:Compact</t>
        </is>
      </c>
      <c r="H49" s="2" t="inlineStr">
        <is>
          <t>lightingScheduleTypeLimit</t>
        </is>
      </c>
      <c r="I49" s="2" t="n">
        <v>0</v>
      </c>
      <c r="J49" s="2" t="n">
        <v>1</v>
      </c>
      <c r="K49" s="2" t="n"/>
    </row>
    <row r="50">
      <c r="A50" s="2" t="inlineStr">
        <is>
          <t>Lighting</t>
        </is>
      </c>
      <c r="B50" s="2" t="inlineStr">
        <is>
          <t>Schedules_Lighting_PoliMi_LC.json</t>
        </is>
      </c>
      <c r="C50" s="2" t="inlineStr">
        <is>
          <t>LghSch_A1.2</t>
        </is>
      </c>
      <c r="D50" s="2" t="n">
        <v>18</v>
      </c>
      <c r="E50" s="2" t="n">
        <v>18</v>
      </c>
      <c r="F50" s="2" t="n">
        <v>0.59</v>
      </c>
      <c r="G50" s="2" t="inlineStr">
        <is>
          <t>Schedule:Compact</t>
        </is>
      </c>
      <c r="H50" s="2" t="inlineStr">
        <is>
          <t>lightingScheduleTypeLimit</t>
        </is>
      </c>
      <c r="I50" s="2" t="n">
        <v>0</v>
      </c>
      <c r="J50" s="2" t="n">
        <v>1</v>
      </c>
      <c r="K50" s="2" t="n"/>
    </row>
    <row r="51">
      <c r="A51" s="2" t="inlineStr">
        <is>
          <t>Lighting</t>
        </is>
      </c>
      <c r="B51" s="2" t="inlineStr">
        <is>
          <t>Schedules_Lighting_PoliMi_LC.json</t>
        </is>
      </c>
      <c r="C51" s="2" t="inlineStr">
        <is>
          <t>LghSch_A1.3</t>
        </is>
      </c>
      <c r="D51" s="2" t="n">
        <v>18</v>
      </c>
      <c r="E51" s="2" t="n">
        <v>18</v>
      </c>
      <c r="F51" s="2" t="n">
        <v>0.47</v>
      </c>
      <c r="G51" s="2" t="inlineStr">
        <is>
          <t>Schedule:Compact</t>
        </is>
      </c>
      <c r="H51" s="2" t="inlineStr">
        <is>
          <t>lightingScheduleTypeLimit</t>
        </is>
      </c>
      <c r="I51" s="2" t="n">
        <v>0</v>
      </c>
      <c r="J51" s="2" t="n">
        <v>1</v>
      </c>
      <c r="K51" s="2" t="n"/>
    </row>
    <row r="52">
      <c r="A52" s="2" t="inlineStr">
        <is>
          <t>Lighting</t>
        </is>
      </c>
      <c r="B52" s="2" t="inlineStr">
        <is>
          <t>Schedules_Lighting_PoliMi_LC.json</t>
        </is>
      </c>
      <c r="C52" s="2" t="inlineStr">
        <is>
          <t>LghSch_B0.1</t>
        </is>
      </c>
      <c r="D52" s="2" t="n">
        <v>18</v>
      </c>
      <c r="E52" s="2" t="n">
        <v>18</v>
      </c>
      <c r="F52" s="2" t="n">
        <v>1.07</v>
      </c>
      <c r="G52" s="2" t="inlineStr">
        <is>
          <t>Schedule:Compact</t>
        </is>
      </c>
      <c r="H52" s="2" t="inlineStr">
        <is>
          <t>lightingScheduleTypeLimit</t>
        </is>
      </c>
      <c r="I52" s="2" t="n">
        <v>0</v>
      </c>
      <c r="J52" s="2" t="n">
        <v>0</v>
      </c>
      <c r="K52" s="2" t="n"/>
    </row>
    <row r="53">
      <c r="A53" s="2" t="inlineStr">
        <is>
          <t>Lighting</t>
        </is>
      </c>
      <c r="B53" s="2" t="inlineStr">
        <is>
          <t>Schedules_Lighting_PoliMi_LC.json</t>
        </is>
      </c>
      <c r="C53" s="2" t="inlineStr">
        <is>
          <t>LghSch_B0.2</t>
        </is>
      </c>
      <c r="D53" s="2" t="n">
        <v>18</v>
      </c>
      <c r="E53" s="2" t="n">
        <v>18</v>
      </c>
      <c r="F53" s="2" t="n">
        <v>0.47</v>
      </c>
      <c r="G53" s="2" t="inlineStr">
        <is>
          <t>Schedule:Compact</t>
        </is>
      </c>
      <c r="H53" s="2" t="inlineStr">
        <is>
          <t>lightingScheduleTypeLimit</t>
        </is>
      </c>
      <c r="I53" s="2" t="n">
        <v>0</v>
      </c>
      <c r="J53" s="2" t="n">
        <v>0</v>
      </c>
      <c r="K53" s="2" t="n"/>
    </row>
    <row r="54">
      <c r="A54" s="2" t="inlineStr">
        <is>
          <t>Lighting</t>
        </is>
      </c>
      <c r="B54" s="2" t="inlineStr">
        <is>
          <t>Schedules_Lighting_PoliMi_LC.json</t>
        </is>
      </c>
      <c r="C54" s="2" t="inlineStr">
        <is>
          <t>LghSch_B0.3</t>
        </is>
      </c>
      <c r="D54" s="2" t="n">
        <v>18</v>
      </c>
      <c r="E54" s="2" t="n">
        <v>18</v>
      </c>
      <c r="F54" s="2" t="n">
        <v>0.39</v>
      </c>
      <c r="G54" s="2" t="inlineStr">
        <is>
          <t>Schedule:Compact</t>
        </is>
      </c>
      <c r="H54" s="2" t="inlineStr">
        <is>
          <t>lightingScheduleTypeLimit</t>
        </is>
      </c>
      <c r="I54" s="2" t="n">
        <v>0</v>
      </c>
      <c r="J54" s="2" t="n">
        <v>0</v>
      </c>
      <c r="K54" s="2" t="n"/>
    </row>
    <row r="55">
      <c r="A55" s="2" t="inlineStr">
        <is>
          <t>Lighting</t>
        </is>
      </c>
      <c r="B55" s="2" t="inlineStr">
        <is>
          <t>Schedules_Lighting_PoliMi_LC.json</t>
        </is>
      </c>
      <c r="C55" s="2" t="inlineStr">
        <is>
          <t>LghSch_B0.4</t>
        </is>
      </c>
      <c r="D55" s="2" t="n">
        <v>18</v>
      </c>
      <c r="E55" s="2" t="n">
        <v>18</v>
      </c>
      <c r="F55" s="2" t="n">
        <v>0.78</v>
      </c>
      <c r="G55" s="2" t="inlineStr">
        <is>
          <t>Schedule:Compact</t>
        </is>
      </c>
      <c r="H55" s="2" t="inlineStr">
        <is>
          <t>lightingScheduleTypeLimit</t>
        </is>
      </c>
      <c r="I55" s="2" t="n">
        <v>0</v>
      </c>
      <c r="J55" s="2" t="n">
        <v>0</v>
      </c>
      <c r="K55" s="2" t="n"/>
    </row>
    <row r="56">
      <c r="A56" s="2" t="inlineStr">
        <is>
          <t>Lighting</t>
        </is>
      </c>
      <c r="B56" s="2" t="inlineStr">
        <is>
          <t>Schedules_Lighting_PoliMi_LC.json</t>
        </is>
      </c>
      <c r="C56" s="2" t="inlineStr">
        <is>
          <t>LghSch_B0.5</t>
        </is>
      </c>
      <c r="D56" s="2" t="n">
        <v>18</v>
      </c>
      <c r="E56" s="2" t="n">
        <v>18</v>
      </c>
      <c r="F56" s="2" t="n">
        <v>0.31</v>
      </c>
      <c r="G56" s="2" t="inlineStr">
        <is>
          <t>Schedule:Compact</t>
        </is>
      </c>
      <c r="H56" s="2" t="inlineStr">
        <is>
          <t>lightingScheduleTypeLimit</t>
        </is>
      </c>
      <c r="I56" s="2" t="n">
        <v>0</v>
      </c>
      <c r="J56" s="2" t="n">
        <v>0</v>
      </c>
      <c r="K56" s="2" t="n"/>
    </row>
    <row r="57">
      <c r="A57" s="2" t="inlineStr">
        <is>
          <t>Lighting</t>
        </is>
      </c>
      <c r="B57" s="2" t="inlineStr">
        <is>
          <t>Schedules_Lighting_PoliMi_LC.json</t>
        </is>
      </c>
      <c r="C57" s="2" t="inlineStr">
        <is>
          <t>LghSch_B0.6</t>
        </is>
      </c>
      <c r="D57" s="2" t="n">
        <v>18</v>
      </c>
      <c r="E57" s="2" t="n">
        <v>18</v>
      </c>
      <c r="F57" s="2" t="n">
        <v>0.44</v>
      </c>
      <c r="G57" s="2" t="inlineStr">
        <is>
          <t>Schedule:Compact</t>
        </is>
      </c>
      <c r="H57" s="2" t="inlineStr">
        <is>
          <t>lightingScheduleTypeLimit</t>
        </is>
      </c>
      <c r="I57" s="2" t="n">
        <v>0</v>
      </c>
      <c r="J57" s="2" t="n">
        <v>0</v>
      </c>
      <c r="K57" s="2" t="n"/>
    </row>
    <row r="58">
      <c r="A58" s="2" t="inlineStr">
        <is>
          <t>Lighting</t>
        </is>
      </c>
      <c r="B58" s="2" t="inlineStr">
        <is>
          <t>Schedules_Lighting_PoliMi_LC.json</t>
        </is>
      </c>
      <c r="C58" s="2" t="inlineStr">
        <is>
          <t>LghSch_B0.7</t>
        </is>
      </c>
      <c r="D58" s="2" t="n">
        <v>18</v>
      </c>
      <c r="E58" s="2" t="n">
        <v>18</v>
      </c>
      <c r="F58" s="2" t="n">
        <v>0.77</v>
      </c>
      <c r="G58" s="2" t="inlineStr">
        <is>
          <t>Schedule:Compact</t>
        </is>
      </c>
      <c r="H58" s="2" t="inlineStr">
        <is>
          <t>lightingScheduleTypeLimit</t>
        </is>
      </c>
      <c r="I58" s="2" t="n">
        <v>0</v>
      </c>
      <c r="J58" s="2" t="n">
        <v>0</v>
      </c>
      <c r="K58" s="2" t="n"/>
    </row>
    <row r="59">
      <c r="A59" s="2" t="inlineStr">
        <is>
          <t>Lighting</t>
        </is>
      </c>
      <c r="B59" s="2" t="inlineStr">
        <is>
          <t>Schedules_Lighting_PoliMi_LC.json</t>
        </is>
      </c>
      <c r="C59" s="2" t="inlineStr">
        <is>
          <t>LghSch_B1.1</t>
        </is>
      </c>
      <c r="D59" s="2" t="n">
        <v>18</v>
      </c>
      <c r="E59" s="2" t="n">
        <v>18</v>
      </c>
      <c r="F59" s="2" t="n">
        <v>0.75</v>
      </c>
      <c r="G59" s="2" t="inlineStr">
        <is>
          <t>Schedule:Compact</t>
        </is>
      </c>
      <c r="H59" s="2" t="inlineStr">
        <is>
          <t>lightingScheduleTypeLimit</t>
        </is>
      </c>
      <c r="I59" s="2" t="n">
        <v>0</v>
      </c>
      <c r="J59" s="2" t="n">
        <v>0</v>
      </c>
      <c r="K59" s="2" t="n"/>
    </row>
    <row r="60">
      <c r="A60" s="2" t="inlineStr">
        <is>
          <t>Lighting</t>
        </is>
      </c>
      <c r="B60" s="2" t="inlineStr">
        <is>
          <t>Schedules_Lighting_PoliMi_LC.json</t>
        </is>
      </c>
      <c r="C60" s="2" t="inlineStr">
        <is>
          <t>LghSch_B1.2</t>
        </is>
      </c>
      <c r="D60" s="2" t="n">
        <v>18</v>
      </c>
      <c r="E60" s="2" t="n">
        <v>18</v>
      </c>
      <c r="F60" s="2" t="n">
        <v>0.64</v>
      </c>
      <c r="G60" s="2" t="inlineStr">
        <is>
          <t>Schedule:Compact</t>
        </is>
      </c>
      <c r="H60" s="2" t="inlineStr">
        <is>
          <t>lightingScheduleTypeLimit</t>
        </is>
      </c>
      <c r="I60" s="2" t="n">
        <v>0</v>
      </c>
      <c r="J60" s="2" t="n">
        <v>0</v>
      </c>
      <c r="K60" s="2" t="n"/>
    </row>
    <row r="61">
      <c r="A61" s="2" t="inlineStr">
        <is>
          <t>Lighting</t>
        </is>
      </c>
      <c r="B61" s="2" t="inlineStr">
        <is>
          <t>Schedules_Lighting_PoliMi_LC.json</t>
        </is>
      </c>
      <c r="C61" s="2" t="inlineStr">
        <is>
          <t>LghSch_B1.3</t>
        </is>
      </c>
      <c r="D61" s="2" t="n">
        <v>18</v>
      </c>
      <c r="E61" s="2" t="n">
        <v>18</v>
      </c>
      <c r="F61" s="2" t="n">
        <v>0.86</v>
      </c>
      <c r="G61" s="2" t="inlineStr">
        <is>
          <t>Schedule:Compact</t>
        </is>
      </c>
      <c r="H61" s="2" t="inlineStr">
        <is>
          <t>lightingScheduleTypeLimit</t>
        </is>
      </c>
      <c r="I61" s="2" t="n">
        <v>0</v>
      </c>
      <c r="J61" s="2" t="n">
        <v>0</v>
      </c>
      <c r="K61" s="2" t="n"/>
    </row>
    <row r="62">
      <c r="A62" s="2" t="inlineStr">
        <is>
          <t>Lighting</t>
        </is>
      </c>
      <c r="B62" s="2" t="inlineStr">
        <is>
          <t>Schedules_Lighting_PoliMi_LC.json</t>
        </is>
      </c>
      <c r="C62" s="2" t="inlineStr">
        <is>
          <t>LghSch_B1.4</t>
        </is>
      </c>
      <c r="D62" s="2" t="n">
        <v>18</v>
      </c>
      <c r="E62" s="2" t="n">
        <v>18</v>
      </c>
      <c r="F62" s="2" t="n">
        <v>0.76</v>
      </c>
      <c r="G62" s="2" t="inlineStr">
        <is>
          <t>Schedule:Compact</t>
        </is>
      </c>
      <c r="H62" s="2" t="inlineStr">
        <is>
          <t>lightingScheduleTypeLimit</t>
        </is>
      </c>
      <c r="I62" s="2" t="n">
        <v>0</v>
      </c>
      <c r="J62" s="2" t="n">
        <v>0</v>
      </c>
      <c r="K62" s="2" t="n"/>
    </row>
    <row r="63">
      <c r="A63" s="2" t="inlineStr">
        <is>
          <t>Lighting</t>
        </is>
      </c>
      <c r="B63" s="2" t="inlineStr">
        <is>
          <t>Schedules_Lighting_PoliMi_LC.json</t>
        </is>
      </c>
      <c r="C63" s="2" t="inlineStr">
        <is>
          <t>LghSch_B1.5</t>
        </is>
      </c>
      <c r="D63" s="2" t="n">
        <v>18</v>
      </c>
      <c r="E63" s="2" t="n">
        <v>18</v>
      </c>
      <c r="F63" s="2" t="n">
        <v>0.37</v>
      </c>
      <c r="G63" s="2" t="inlineStr">
        <is>
          <t>Schedule:Compact</t>
        </is>
      </c>
      <c r="H63" s="2" t="inlineStr">
        <is>
          <t>lightingScheduleTypeLimit</t>
        </is>
      </c>
      <c r="I63" s="2" t="n">
        <v>0</v>
      </c>
      <c r="J63" s="2" t="n">
        <v>0</v>
      </c>
      <c r="K63" s="2" t="n"/>
    </row>
    <row r="64">
      <c r="A64" s="2" t="inlineStr">
        <is>
          <t>Lighting</t>
        </is>
      </c>
      <c r="B64" s="2" t="inlineStr">
        <is>
          <t>Schedules_Lighting_PoliMi_LC.json</t>
        </is>
      </c>
      <c r="C64" s="2" t="inlineStr">
        <is>
          <t>LghSch_B2.1</t>
        </is>
      </c>
      <c r="D64" s="2" t="n">
        <v>18</v>
      </c>
      <c r="E64" s="2" t="n">
        <v>18</v>
      </c>
      <c r="F64" s="2" t="n">
        <v>0.93</v>
      </c>
      <c r="G64" s="2" t="inlineStr">
        <is>
          <t>Schedule:Compact</t>
        </is>
      </c>
      <c r="H64" s="2" t="inlineStr">
        <is>
          <t>lightingScheduleTypeLimit</t>
        </is>
      </c>
      <c r="I64" s="2" t="n">
        <v>0</v>
      </c>
      <c r="J64" s="2" t="n">
        <v>0</v>
      </c>
      <c r="K64" s="2" t="n"/>
    </row>
    <row r="65">
      <c r="A65" s="2" t="inlineStr">
        <is>
          <t>Lighting</t>
        </is>
      </c>
      <c r="B65" s="2" t="inlineStr">
        <is>
          <t>Schedules_Lighting_PoliMi_LC.json</t>
        </is>
      </c>
      <c r="C65" s="2" t="inlineStr">
        <is>
          <t>LghSch_B2.2</t>
        </is>
      </c>
      <c r="D65" s="2" t="n">
        <v>18</v>
      </c>
      <c r="E65" s="2" t="n">
        <v>18</v>
      </c>
      <c r="F65" s="2" t="n">
        <v>0.57</v>
      </c>
      <c r="G65" s="2" t="inlineStr">
        <is>
          <t>Schedule:Compact</t>
        </is>
      </c>
      <c r="H65" s="2" t="inlineStr">
        <is>
          <t>lightingScheduleTypeLimit</t>
        </is>
      </c>
      <c r="I65" s="2" t="n">
        <v>0</v>
      </c>
      <c r="J65" s="2" t="n">
        <v>0</v>
      </c>
      <c r="K65" s="2" t="n"/>
    </row>
    <row r="66">
      <c r="A66" s="2" t="inlineStr">
        <is>
          <t>Lighting</t>
        </is>
      </c>
      <c r="B66" s="2" t="inlineStr">
        <is>
          <t>Schedules_Lighting_PoliMi_LC.json</t>
        </is>
      </c>
      <c r="C66" s="2" t="inlineStr">
        <is>
          <t>LghSch_B2.3</t>
        </is>
      </c>
      <c r="D66" s="2" t="n">
        <v>18</v>
      </c>
      <c r="E66" s="2" t="n">
        <v>18</v>
      </c>
      <c r="F66" s="2" t="n">
        <v>0.66</v>
      </c>
      <c r="G66" s="2" t="inlineStr">
        <is>
          <t>Schedule:Compact</t>
        </is>
      </c>
      <c r="H66" s="2" t="inlineStr">
        <is>
          <t>lightingScheduleTypeLimit</t>
        </is>
      </c>
      <c r="I66" s="2" t="n">
        <v>0</v>
      </c>
      <c r="J66" s="2" t="n">
        <v>0</v>
      </c>
      <c r="K66" s="2" t="n"/>
    </row>
    <row r="67">
      <c r="A67" s="2" t="inlineStr">
        <is>
          <t>Lighting</t>
        </is>
      </c>
      <c r="B67" s="2" t="inlineStr">
        <is>
          <t>Schedules_Lighting_PoliMi_LC.json</t>
        </is>
      </c>
      <c r="C67" s="2" t="inlineStr">
        <is>
          <t>LghSch_B2.4</t>
        </is>
      </c>
      <c r="D67" s="2" t="n">
        <v>18</v>
      </c>
      <c r="E67" s="2" t="n">
        <v>18</v>
      </c>
      <c r="F67" s="2" t="n">
        <v>0.15</v>
      </c>
      <c r="G67" s="2" t="inlineStr">
        <is>
          <t>Schedule:Compact</t>
        </is>
      </c>
      <c r="H67" s="2" t="inlineStr">
        <is>
          <t>lightingScheduleTypeLimit</t>
        </is>
      </c>
      <c r="I67" s="2" t="n">
        <v>0</v>
      </c>
      <c r="J67" s="2" t="n">
        <v>0</v>
      </c>
      <c r="K67" s="2" t="n"/>
    </row>
    <row r="68">
      <c r="A68" s="2" t="inlineStr">
        <is>
          <t>Lighting</t>
        </is>
      </c>
      <c r="B68" s="2" t="inlineStr">
        <is>
          <t>Schedules_Lighting_PoliMi_LC.json</t>
        </is>
      </c>
      <c r="C68" s="2" t="inlineStr">
        <is>
          <t>LghSch_B2.5</t>
        </is>
      </c>
      <c r="D68" s="2" t="n">
        <v>18</v>
      </c>
      <c r="E68" s="2" t="n">
        <v>18</v>
      </c>
      <c r="F68" s="2" t="n">
        <v>0.66</v>
      </c>
      <c r="G68" s="2" t="inlineStr">
        <is>
          <t>Schedule:Compact</t>
        </is>
      </c>
      <c r="H68" s="2" t="inlineStr">
        <is>
          <t>lightingScheduleTypeLimit</t>
        </is>
      </c>
      <c r="I68" s="2" t="n">
        <v>0</v>
      </c>
      <c r="J68" s="2" t="n">
        <v>0</v>
      </c>
      <c r="K68" s="2" t="n"/>
    </row>
    <row r="69">
      <c r="A69" s="2" t="inlineStr">
        <is>
          <t>Lighting</t>
        </is>
      </c>
      <c r="B69" s="2" t="inlineStr">
        <is>
          <t>Schedules_Lighting_PoliMi_LC.json</t>
        </is>
      </c>
      <c r="C69" s="2" t="inlineStr">
        <is>
          <t>LghSch_B2.6</t>
        </is>
      </c>
      <c r="D69" s="2" t="n">
        <v>18</v>
      </c>
      <c r="E69" s="2" t="n">
        <v>18</v>
      </c>
      <c r="F69" s="2" t="n">
        <v>0.35</v>
      </c>
      <c r="G69" s="2" t="inlineStr">
        <is>
          <t>Schedule:Compact</t>
        </is>
      </c>
      <c r="H69" s="2" t="inlineStr">
        <is>
          <t>lightingScheduleTypeLimit</t>
        </is>
      </c>
      <c r="I69" s="2" t="n">
        <v>0</v>
      </c>
      <c r="J69" s="2" t="n">
        <v>0</v>
      </c>
      <c r="K69" s="2" t="n"/>
    </row>
    <row r="70">
      <c r="A70" s="2" t="inlineStr">
        <is>
          <t>Lighting</t>
        </is>
      </c>
      <c r="B70" s="2" t="inlineStr">
        <is>
          <t>Schedules_Lighting_PoliMi_LC.json</t>
        </is>
      </c>
      <c r="C70" s="2" t="inlineStr">
        <is>
          <t>LghSch_Unoccupied</t>
        </is>
      </c>
      <c r="D70" s="2" t="n">
        <v>1</v>
      </c>
      <c r="E70" s="2" t="n">
        <v>1</v>
      </c>
      <c r="F70" s="2" t="n">
        <v>1</v>
      </c>
      <c r="G70" s="2" t="inlineStr">
        <is>
          <t>Schedule:Compact</t>
        </is>
      </c>
      <c r="H70" s="2" t="inlineStr">
        <is>
          <t>lightingScheduleTypeLimit</t>
        </is>
      </c>
      <c r="I70" s="2" t="n">
        <v>1</v>
      </c>
      <c r="J70" s="2" t="n">
        <v>4</v>
      </c>
      <c r="K70" s="2" t="n"/>
    </row>
    <row r="71" ht="23.25" customHeight="1">
      <c r="A71" s="2" t="inlineStr">
        <is>
          <t>Lighting</t>
        </is>
      </c>
      <c r="B71" s="2" t="inlineStr">
        <is>
          <t>Schedules_Lighting_PoliMi_LC.json</t>
        </is>
      </c>
      <c r="C71" s="2" t="inlineStr">
        <is>
          <t>LghSch_Costant</t>
        </is>
      </c>
      <c r="D71" s="2" t="n">
        <v>1</v>
      </c>
      <c r="E71" s="2" t="n">
        <v>1</v>
      </c>
      <c r="F71" s="2" t="n">
        <v>1</v>
      </c>
      <c r="G71" s="2" t="inlineStr">
        <is>
          <t>Schedule:Compact</t>
        </is>
      </c>
      <c r="H71" s="2" t="inlineStr">
        <is>
          <t>lightingScheduleTypeLimit</t>
        </is>
      </c>
      <c r="I71" s="2" t="n">
        <v>55</v>
      </c>
      <c r="J71" s="2" t="n">
        <v>7</v>
      </c>
      <c r="K71" s="2" t="inlineStr">
        <is>
          <t>B09: Through: 12/31 , For: AllDays , Until: 07:00 , 0 , Until: 18:00 , 1 , Until: 24:00 , 0 | B10: Through: 12/31 , For: AllDays , Until: 07:00 , 0 , Until: 18:00 , 1 , Until: 24:00 , 0</t>
        </is>
      </c>
    </row>
    <row r="72" ht="46.5" customHeight="1">
      <c r="A72" s="2" t="inlineStr">
        <is>
          <t>Heating</t>
        </is>
      </c>
      <c r="B72" s="2" t="inlineStr">
        <is>
          <t>Schedules_Heating_PoliMi_LC.json</t>
        </is>
      </c>
      <c r="C72" s="2" t="inlineStr">
        <is>
          <t>HtnSch_AHU</t>
        </is>
      </c>
      <c r="D72" s="2" t="n">
        <v>1</v>
      </c>
      <c r="E72" s="2" t="n">
        <v>2</v>
      </c>
      <c r="F72" s="2" t="n">
        <v>1</v>
      </c>
      <c r="G72" s="2" t="inlineStr">
        <is>
          <t>Schedule:Compact</t>
        </is>
      </c>
      <c r="H72" s="2" t="inlineStr">
        <is>
          <t>availabilityScheduleTypeLimit</t>
        </is>
      </c>
      <c r="I72" s="2" t="n">
        <v>52</v>
      </c>
      <c r="J72" s="2" t="n">
        <v>12</v>
      </c>
      <c r="K72" s="2" t="inlineStr">
        <is>
          <t>B09: Through: 4/15 , For: AllDays , Until: 7:00 , 1 , Until: 18:00 , 1 , Until: 24:00 , 1 , Through: 12/31 , For: AllDays , Until: 7:00 , 1 , Until: 18:00 , 1 , Until: 24:00 , 1 | B10: Through: 4/15 , For: AllDays , Until: 7:00 , 1 , Until: 18:00 , 1 , Until: 24:00 , 1 , Through: 12/31 , For: AllDays , Until: 7:00 , 1 , Until: 18:00 , 1 , Until: 24:00 , 1</t>
        </is>
      </c>
    </row>
    <row r="73" ht="46.5" customHeight="1">
      <c r="A73" s="2" t="inlineStr">
        <is>
          <t>Cooling</t>
        </is>
      </c>
      <c r="B73" s="2" t="inlineStr">
        <is>
          <t>Schedules_Cooling_PoliMi_LC.json</t>
        </is>
      </c>
      <c r="C73" s="2" t="inlineStr">
        <is>
          <t>ClnSch_AHU</t>
        </is>
      </c>
      <c r="D73" s="2" t="n">
        <v>2</v>
      </c>
      <c r="E73" s="2" t="n">
        <v>3</v>
      </c>
      <c r="F73" s="2" t="n">
        <v>1</v>
      </c>
      <c r="G73" s="2" t="inlineStr">
        <is>
          <t>Schedule:Compact</t>
        </is>
      </c>
      <c r="H73" s="2" t="inlineStr">
        <is>
          <t>availabilityScheduleTypeLimit</t>
        </is>
      </c>
      <c r="I73" s="2" t="n">
        <v>52</v>
      </c>
      <c r="J73" s="2" t="n">
        <v>12</v>
      </c>
      <c r="K73" s="2" t="inlineStr">
        <is>
          <t>B09: Through: 4/16 , For: AllDays , Until: 24:00 , 1 , Through: 10/14 , For: AllDays , Until: 7:00 , 1 , Until: 18:00 , 1 , Until: 24:00 , 1 , Through: 12/31 , For: AllDays , Until: 24:00 , 1 | B10: Through: 4/16 , For: AllDays , Until: 24:00 , 1 , Through: 10/14 , For: AllDays , Until: 7:00 , 1 , Until: 18:00 , 1 , Until: 24:00 , 1 , Through: 12/31 , For: AllDays , Until: 24:00 , 1</t>
        </is>
      </c>
    </row>
    <row r="74" ht="23.25" customHeight="1">
      <c r="A74" s="2" t="inlineStr">
        <is>
          <t>Ventilation</t>
        </is>
      </c>
      <c r="B74" s="2" t="inlineStr">
        <is>
          <t>Schedules_Ventilation_PoliMi_LC.json</t>
        </is>
      </c>
      <c r="C74" s="2" t="inlineStr">
        <is>
          <t>VntSch_AHU</t>
        </is>
      </c>
      <c r="D74" s="2" t="n">
        <v>1</v>
      </c>
      <c r="E74" s="2" t="n">
        <v>1</v>
      </c>
      <c r="F74" s="2" t="n">
        <v>1</v>
      </c>
      <c r="G74" s="2" t="inlineStr">
        <is>
          <t>Schedule:Compact</t>
        </is>
      </c>
      <c r="H74" s="2" t="inlineStr">
        <is>
          <t>availabilityScheduleTypeLimit</t>
        </is>
      </c>
      <c r="I74" s="2" t="n">
        <v>52</v>
      </c>
      <c r="J74" s="2" t="n">
        <v>12</v>
      </c>
      <c r="K74" s="2" t="inlineStr">
        <is>
          <t>B09: Through: 12/31 , For: AllDays , Until: 7:00 , 1 , Until: 18:00 , 1 , Until: 24:00 , 1 | B10: Through: 12/31 , For: AllDays , Until: 7:00 , 1 , Until: 18:00 , 1 , Until: 24:00 , 1</t>
        </is>
      </c>
    </row>
    <row r="75">
      <c r="A75" s="2" t="inlineStr">
        <is>
          <t>Equipment</t>
        </is>
      </c>
      <c r="B75" s="2" t="inlineStr">
        <is>
          <t>created in notebook</t>
        </is>
      </c>
      <c r="C75" s="2" t="inlineStr">
        <is>
          <t>EqpSch_Costant</t>
        </is>
      </c>
      <c r="D75" s="2" t="inlineStr">
        <is>
          <t>–</t>
        </is>
      </c>
      <c r="E75" s="2" t="inlineStr">
        <is>
          <t>–</t>
        </is>
      </c>
      <c r="F75" s="2" t="n">
        <v>0</v>
      </c>
      <c r="G75" s="2" t="inlineStr">
        <is>
          <t>Schedule:Compact</t>
        </is>
      </c>
      <c r="H75" s="2" t="inlineStr">
        <is>
          <t>equipmentScheduleTypeLimit</t>
        </is>
      </c>
      <c r="I75" s="2" t="n">
        <v>55</v>
      </c>
      <c r="J75" s="2" t="n">
        <v>6</v>
      </c>
      <c r="K75" s="2" t="inlineStr">
        <is>
          <t>B09: Through: 12/31 , For: AllDays , Until: 07:00 , 0 , Until: 18:00 , 1 , Until: 24:00 , 0</t>
        </is>
      </c>
    </row>
    <row r="76">
      <c r="A76" s="2" t="inlineStr">
        <is>
          <t>Availability</t>
        </is>
      </c>
      <c r="B76" s="2" t="inlineStr">
        <is>
          <t>created in notebook</t>
        </is>
      </c>
      <c r="C76" s="2" t="inlineStr">
        <is>
          <t>AlwaysOff</t>
        </is>
      </c>
      <c r="D76" s="2" t="inlineStr">
        <is>
          <t>–</t>
        </is>
      </c>
      <c r="E76" s="2" t="inlineStr">
        <is>
          <t>–</t>
        </is>
      </c>
      <c r="F76" s="2" t="n">
        <v>0</v>
      </c>
      <c r="G76" s="2" t="inlineStr">
        <is>
          <t>Schedule:Compact</t>
        </is>
      </c>
      <c r="H76" s="2" t="inlineStr">
        <is>
          <t>availabilityScheduleTypeLimit</t>
        </is>
      </c>
      <c r="I76" s="2" t="n">
        <v>57</v>
      </c>
      <c r="J76" s="2" t="n">
        <v>34</v>
      </c>
      <c r="K76" s="2" t="n"/>
    </row>
  </sheetData>
  <autoFilter ref="A1:K76"/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25"/>
  <cols>
    <col width="6" customWidth="1" min="1" max="1"/>
    <col width="9" customWidth="1" min="2" max="2"/>
    <col width="22" customWidth="1" min="3" max="3"/>
    <col width="48" customWidth="1" min="4" max="4"/>
    <col width="70" customWidth="1" min="5" max="5"/>
    <col width="30" customWidth="1" min="6" max="6"/>
    <col width="40" customWidth="1" min="7" max="7"/>
    <col width="44" customWidth="1" min="8" max="8"/>
    <col width="60" customWidth="1" min="9" max="9"/>
  </cols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Topic</t>
        </is>
      </c>
      <c r="D1" s="1" t="inlineStr">
        <is>
          <t>What the manuscript says</t>
        </is>
      </c>
      <c r="E1" s="1" t="inlineStr">
        <is>
          <t>What the code / models do</t>
        </is>
      </c>
      <c r="F1" s="1" t="inlineStr">
        <is>
          <t>Evidence</t>
        </is>
      </c>
      <c r="G1" s="1" t="inlineStr">
        <is>
          <t>Suggested action</t>
        </is>
      </c>
      <c r="H1" s="1" t="inlineStr">
        <is>
          <t>Question for the authors</t>
        </is>
      </c>
      <c r="I1" s="1" t="inlineStr">
        <is>
          <t>Resolution / author decision</t>
        </is>
      </c>
    </row>
    <row r="2" ht="34.9" customHeight="1">
      <c r="A2" s="2" t="inlineStr">
        <is>
          <t>I01</t>
        </is>
      </c>
      <c r="B2" s="16" t="inlineStr">
        <is>
          <t>High</t>
        </is>
      </c>
      <c r="C2" s="2" t="inlineStr">
        <is>
          <t>Table 7 values</t>
        </is>
      </c>
      <c r="D2" s="2" t="inlineStr">
        <is>
          <t>Assigned values such as 8.0 W/m² LPD, 5.0/8.0 W/m² EPD, 0.80 pp/m² classrooms, 0.10 pp/m² offices, 120 persons 'Room A1.3', 2.5 h⁻¹, 60/40 % RH, 26/24/20/15 °C, 'Eurocode 1 / Class 3'.</t>
        </is>
      </c>
      <c r="E2" s="2" t="inlineStr">
        <is>
          <t>TBIM/IDF: LPD 6 W/m² (7 office); EPD undefined → 0 (baseline), 2/10 W/m² (calibrated); 0.6 pp/m² lecture halls, 0.3 labs, 0.12 office, 0.8 snack bar; RH 70/40 %; temperatures 26/23/23.5/18 °C (not used); wind class A4.</t>
        </is>
      </c>
      <c r="F2" s="2" t="inlineStr">
        <is>
          <t>Val_SpaceTypes, Val_Zones</t>
        </is>
      </c>
      <c r="G2" s="2" t="inlineStr">
        <is>
          <t>Replace the 'Assigned value' column with Val_SpaceTypes (per occupancy type) and mark which values reach the IDF (Map_Spaces 'In IDF?').</t>
        </is>
      </c>
      <c r="H2" s="2" t="inlineStr">
        <is>
          <t>Where do the current Table 7 values come from (another building, a draft, a standard)? May I replace them with the model values?</t>
        </is>
      </c>
      <c r="I2" s="2" t="inlineStr">
        <is>
          <t>Author: replace with model values from the CALIBRATED IDF, reported by E+ zone → see T7_Zones / T7_Grouped.</t>
        </is>
      </c>
    </row>
    <row r="3" ht="34.9" customHeight="1">
      <c r="A3" s="2" t="inlineStr">
        <is>
          <t>I02</t>
        </is>
      </c>
      <c r="B3" s="16" t="inlineStr">
        <is>
          <t>High</t>
        </is>
      </c>
      <c r="C3" s="2" t="inlineStr">
        <is>
          <t>Table 8 values</t>
        </is>
      </c>
      <c r="D3" s="2" t="inlineStr">
        <is>
          <t>Construction names ExtWall_PrefabConcrete_12cmIns / Roof_InsulatedSlab / Floor_GroundSlab; U = 0.28 / 0.22 / 0.30 / 0.95 W/m²K.</t>
        </is>
      </c>
      <c r="E3" s="2" t="inlineStr">
        <is>
          <t>Model constructions are WL_POLIMI-LC_EW01–05, FC300-*, IW01–06, FL_POLIMI-LC_*, RF_POLIMI-LC_IH-E with multilayer IFC material sets; U-values are not read from IFC but computed by E+ from layers.</t>
        </is>
      </c>
      <c r="F3" s="2" t="inlineStr">
        <is>
          <t>Val_Constructions (U computed), Val_Layers</t>
        </is>
      </c>
      <c r="G3" s="2" t="inlineStr">
        <is>
          <t>Rebuild Table 8 as one row per construction: name, category, layers (d, λ, ρ, c), computed U.</t>
        </is>
      </c>
      <c r="H3" s="2" t="inlineStr">
        <is>
          <t>Do you want Table 8 per construction (long) or only the envelope types actually exposed to outdoors (EW*, FC*, RF, FL ground)?</t>
        </is>
      </c>
      <c r="I3" s="2" t="inlineStr">
        <is>
          <t>Author: list every outer-envelope construction → see T8_Envelope.</t>
        </is>
      </c>
    </row>
    <row r="4" ht="23.25" customHeight="1">
      <c r="A4" s="2" t="inlineStr">
        <is>
          <t>I03</t>
        </is>
      </c>
      <c r="B4" s="16" t="inlineStr">
        <is>
          <t>High</t>
        </is>
      </c>
      <c r="C4" s="2" t="inlineStr">
        <is>
          <t>Table 9 values</t>
        </is>
      </c>
      <c r="D4" s="2" t="inlineStr">
        <is>
          <t>U 1.40, glass U 1.10, SHGC 0.45, VT 0.65, glazing fraction 0.85, 2.80 × 1.50 m, anodised Al with thermal break.</t>
        </is>
      </c>
      <c r="E4" s="2" t="inlineStr">
        <is>
          <t>IFC/IDF: U 0.9, SHGC 0.67, VT 0.8 (and 0.58 in B10), glass U 1.1, frame U 0.7, aluminium, glazing fraction 0.8 (not used), double glazing; E+ simple glazing model.</t>
        </is>
      </c>
      <c r="F4" s="2" t="inlineStr">
        <is>
          <t>Map_Apertures, Val_Glazing</t>
        </is>
      </c>
      <c r="G4" s="2" t="inlineStr">
        <is>
          <t>Replace values; state that only U/SHGC/VT are used (WindowMaterial:SimpleGlazingSystem).</t>
        </is>
      </c>
      <c r="H4" s="2" t="n"/>
      <c r="I4" s="2" t="inlineStr">
        <is>
          <t>Replaced with model values → see T9_Glazing.</t>
        </is>
      </c>
    </row>
    <row r="5" ht="46.5" customHeight="1">
      <c r="A5" s="2" t="inlineStr">
        <is>
          <t>I04</t>
        </is>
      </c>
      <c r="B5" s="16" t="inlineStr">
        <is>
          <t>High</t>
        </is>
      </c>
      <c r="C5" s="2" t="inlineStr">
        <is>
          <t>Temperature setpoints</t>
        </is>
      </c>
      <c r="D5" s="2" t="inlineStr">
        <is>
          <t>Methods: 'Thermal and humidity control data … including temperature and humidity setpoints' are assigned from IFC to IdealLoads.</t>
        </is>
      </c>
      <c r="E5" s="2" t="inlineStr">
        <is>
          <t>Only humidity setpoints are transferred. Thermostat = HB constant 20/26 °C (baseline); calibrated IDFs use hand-edited schedules (B09 15/18 °C heating, 20 °C cooling; B10 18/22 °C heating, 22 °C cooling). TBIM 18–23.5 / 23–26 °C limits are aggregated but never written.</t>
        </is>
      </c>
      <c r="F5" s="2" t="inlineStr">
        <is>
          <t>Operation.py:541 HBRoomSetSetpointSchedules; IDF HVACTemplate:Thermostat</t>
        </is>
      </c>
      <c r="G5" s="2" t="inlineStr">
        <is>
          <t>Either implement the mapping (pr_SpaceTemperatureWinterMin → heating SP, pr_SpaceTemperatureSummerMax → cooling SP) or correct the text.</t>
        </is>
      </c>
      <c r="H5" s="2" t="inlineStr">
        <is>
          <t>Which setpoints should the paper report: TBIM design values or calibrated operating values?</t>
        </is>
      </c>
      <c r="I5" s="2" t="inlineStr">
        <is>
          <t>Author: keep the setpoints cited in the paper → T7 reports 20 °C occupied / 15 °C setback heating and 26 °C cooling (Ref_Assumptions C8:C10); calibrated-IDF setpoints kept in T7_Zones columns Y–Z for traceability.</t>
        </is>
      </c>
    </row>
    <row r="6" ht="34.9" customHeight="1">
      <c r="A6" s="2" t="inlineStr">
        <is>
          <t>I05</t>
        </is>
      </c>
      <c r="B6" s="17" t="inlineStr">
        <is>
          <t>Medium</t>
        </is>
      </c>
      <c r="C6" s="2" t="inlineStr">
        <is>
          <t>Equipment power density</t>
        </is>
      </c>
      <c r="D6" s="2" t="inlineStr">
        <is>
          <t>Table 7 gives 5.0/8.0 W/m².</t>
        </is>
      </c>
      <c r="E6" s="2" t="inlineStr">
        <is>
          <t>pr_EquipmentPowerDensity = 'Undefined' in every TBIM cell → 0 W/m² in the baseline; calibrated values 2 W/m² (most zones) and 10 W/m² (B10 lecture halls) were typed directly in the IDF.</t>
        </is>
      </c>
      <c r="F6" s="2" t="inlineStr">
        <is>
          <t>Val_SpaceTypes, Val_Zones</t>
        </is>
      </c>
      <c r="G6" s="2" t="inlineStr">
        <is>
          <t>Document the calibrated values as calibration parameters, not BIM inputs.</t>
        </is>
      </c>
      <c r="H6" s="2" t="n"/>
      <c r="I6" s="2" t="inlineStr">
        <is>
          <t>Calibrated EPD (2 / 10 W/m²) reported in T7.</t>
        </is>
      </c>
    </row>
    <row r="7" ht="23.25" customHeight="1">
      <c r="A7" s="2" t="inlineStr">
        <is>
          <t>I06</t>
        </is>
      </c>
      <c r="B7" s="17" t="inlineStr">
        <is>
          <t>Medium</t>
        </is>
      </c>
      <c r="C7" s="2" t="inlineStr">
        <is>
          <t>'Costant' schedules</t>
        </is>
      </c>
      <c r="D7" s="2" t="inlineStr">
        <is>
          <t>–</t>
        </is>
      </c>
      <c r="E7" s="2" t="inlineStr">
        <is>
          <t>LghSch_Costant and EqpSch_Costant are 0 all year in the baseline IDF, so lights/equipment in zones using them never switch on; calibration changed them to 1 between 07:00 and 18:00.</t>
        </is>
      </c>
      <c r="F7" s="2" t="inlineStr">
        <is>
          <t>Val_Schedules (column K)</t>
        </is>
      </c>
      <c r="G7" s="2" t="inlineStr">
        <is>
          <t>Mention in calibration section.</t>
        </is>
      </c>
      <c r="H7" s="2" t="n"/>
      <c r="I7" s="2" t="n"/>
    </row>
    <row r="8" ht="58.15" customHeight="1">
      <c r="A8" s="2" t="inlineStr">
        <is>
          <t>I07</t>
        </is>
      </c>
      <c r="B8" s="16" t="inlineStr">
        <is>
          <t>High</t>
        </is>
      </c>
      <c r="C8" s="2" t="inlineStr">
        <is>
          <t>Mechanical ventilation rate units</t>
        </is>
      </c>
      <c r="D8" s="2" t="inlineStr">
        <is>
          <t>Table 7: 'given in air changes per hour, h⁻¹'.</t>
        </is>
      </c>
      <c r="E8" s="2" t="inlineStr">
        <is>
          <t>Code writes pr_MechanicalVentilationRate / 1000 into Outdoor_Air_Flow_per_Zone_Floor_Area (m³/s·m²), i.e. treats it as L/s·m². Restrooms 8 → 0.008 m³/s·m² (28.8 m³/h·m²).</t>
        </is>
      </c>
      <c r="F8" s="2" t="inlineStr">
        <is>
          <t>Map_Spaces S15; scripts/01_bim_to_bem.py ('Mechanical ventilation rate')</t>
        </is>
      </c>
      <c r="G8" s="2" t="inlineStr">
        <is>
          <t>Fix unit (ACH → DSOA 'Outdoor_Air_Flow_Air_Changes_per_Hour') or relabel the TBIM property.</t>
        </is>
      </c>
      <c r="H8" s="2" t="inlineStr">
        <is>
          <t>Is pr_MechanicalVentilationRate in h⁻¹ or in L/s·m²?</t>
        </is>
      </c>
      <c r="I8" s="2" t="inlineStr">
        <is>
          <t>Resolved by comparison with standard rates: pr_MechanicalVentilationRate is an air-change rate (h⁻¹) = N_peak × 7 L/s·p × 3.6 / V_net (e.g. 88 × 25.2 / 421.26 = 5.264 h⁻¹ stored as 5.26421); restrooms 8 h⁻¹ and stairs 1 h⁻¹ are UNI 10339-type extraction rates. The workflow error (h⁻¹ read as L/s·m²) scales by room height / 3.6 m (≈ 1.1 for 3.9–4 m rooms). Superseded in T7 by the EN 16798 values.</t>
        </is>
      </c>
    </row>
    <row r="9" ht="34.9" customHeight="1">
      <c r="A9" s="2" t="inlineStr">
        <is>
          <t>I08</t>
        </is>
      </c>
      <c r="B9" s="17" t="inlineStr">
        <is>
          <t>Medium</t>
        </is>
      </c>
      <c r="C9" s="2" t="inlineStr">
        <is>
          <t>Zone aggregation bug</t>
        </is>
      </c>
      <c r="D9" s="2" t="inlineStr">
        <is>
          <t>Methods: 'aggregation functions are applied to transfer energy-related parameters from cells to zones'.</t>
        </is>
      </c>
      <c r="E9" s="2" t="inlineStr">
        <is>
          <t>Utils.TopologicZoneInheritSpaceData computes prevalent schedules (rl_ZoneIsScheduledBy_*) and a volume-weighted ventilation rate, but stores the LAST cell's rl_IsScheduledBy_* and pr_MechanicalVentilationRate instead (Operation.py:170–175).</t>
        </is>
      </c>
      <c r="F9" s="2" t="inlineStr">
        <is>
          <t>Operation.py:169–176</t>
        </is>
      </c>
      <c r="G9" s="2" t="inlineStr">
        <is>
          <t>Use pr_ZoneMechanicalVentilationRate and rl_ZoneIsScheduledBy_* in zoneDictValues.</t>
        </is>
      </c>
      <c r="H9" s="2" t="n"/>
      <c r="I9" s="2" t="n"/>
    </row>
    <row r="10" ht="23.25" customHeight="1">
      <c r="A10" s="2" t="inlineStr">
        <is>
          <t>I09</t>
        </is>
      </c>
      <c r="B10" s="17" t="inlineStr">
        <is>
          <t>Medium</t>
        </is>
      </c>
      <c r="C10" s="2" t="inlineStr">
        <is>
          <t>Infiltration</t>
        </is>
      </c>
      <c r="D10" s="2" t="inlineStr">
        <is>
          <t>Table 7 / methods: 0.30 h⁻¹ baseline infiltration; 'pure infiltration at 0.3 ACH' at night.</t>
        </is>
      </c>
      <c r="E10" s="2" t="inlineStr">
        <is>
          <t>ZoneInfiltration:DesignFlowRate, Flow/ExteriorArea = 0.0001 m³/s·m² ('TightBuilding'), schedule 'Generic Office Infiltration' from the HB office program.</t>
        </is>
      </c>
      <c r="F10" s="2" t="inlineStr">
        <is>
          <t>Map_Model M09</t>
        </is>
      </c>
      <c r="G10" s="2" t="inlineStr">
        <is>
          <t>Align text or model.</t>
        </is>
      </c>
      <c r="H10" s="2" t="inlineStr">
        <is>
          <t>Which value was used for the results in the paper?</t>
        </is>
      </c>
      <c r="I10" s="2" t="inlineStr">
        <is>
          <t>Author: EN 16798 / Methods values are the reference → T7 reports 0.30 h⁻¹ (Ref_Assumptions); the repository IDF value is kept for traceability.</t>
        </is>
      </c>
    </row>
    <row r="11" ht="34.9" customHeight="1">
      <c r="A11" s="2" t="inlineStr">
        <is>
          <t>I10</t>
        </is>
      </c>
      <c r="B11" s="16" t="inlineStr">
        <is>
          <t>High</t>
        </is>
      </c>
      <c r="C11" s="2" t="inlineStr">
        <is>
          <t>Outdoor air</t>
        </is>
      </c>
      <c r="D11" s="2" t="inlineStr">
        <is>
          <t>10 L/s·person + 0.6 L/s·m², EN 16798-1 Cat. II, AHU caps 11 000 / 7 200 m³/h, zero OA at night.</t>
        </is>
      </c>
      <c r="E11" s="2" t="inlineStr">
        <is>
          <t>7 L/s·person (0.007 m³/s), per-area = TBIM rate/1000, method 'Maximum' (not sum), ventilation availability VntSch_AHU 07–18 h (baseline) / always on (calibrated), ideal-loads capacity autosized (no caps).</t>
        </is>
      </c>
      <c r="F11" s="2" t="inlineStr">
        <is>
          <t>Map_Spaces S15–S16, S31; Map_Model M07</t>
        </is>
      </c>
      <c r="G11" s="2" t="inlineStr">
        <is>
          <t>Align text or model.</t>
        </is>
      </c>
      <c r="H11" s="2" t="inlineStr">
        <is>
          <t>Were the EN 16798 values applied in a later model version not in models/?</t>
        </is>
      </c>
      <c r="I11" s="2" t="inlineStr">
        <is>
          <t>Author: keep the values already reported in the paper (10 L/s·p, 0.6 L/s·m², EN 16798-1 Cat. II as stated, 0 OA when unoccupied, AHU caps) → Ref_Assumptions.</t>
        </is>
      </c>
    </row>
    <row r="12" ht="69.75" customHeight="1">
      <c r="A12" s="2" t="inlineStr">
        <is>
          <t>I11</t>
        </is>
      </c>
      <c r="B12" s="17" t="inlineStr">
        <is>
          <t>Medium</t>
        </is>
      </c>
      <c r="C12" s="2" t="inlineStr">
        <is>
          <t>Doors</t>
        </is>
      </c>
      <c r="D12" s="2" t="inlineStr">
        <is>
          <t>Methods: IfcDoorType → HB Door objects.</t>
        </is>
      </c>
      <c r="E12" s="2" t="inlineStr">
        <is>
          <t>Doors are converted into glazed HB Apertures with a window construction; HB/E+ Door objects are never created, and only 1 door (B09) / 3 doors (B10) reach the IDF because apertures on curtain-wall or adiabatic faces are discarded. In B09, 23 curtain-wall apertures keep HB 'Generic Double Pane': their TBIM VT is 0.58 but the B09 IFC only defines VT 0.8, so the construction 'curtainWallWindowConstruction_U0.9_SHGC0.67_VT0.58' is never created. Glazing data are read from instance psets, not types.</t>
        </is>
      </c>
      <c r="F12" s="2" t="inlineStr">
        <is>
          <t>Map_Apertures A01, Val_Glazing</t>
        </is>
      </c>
      <c r="G12" s="2" t="inlineStr">
        <is>
          <t>Correct text or map opaque doors to HB Door + OpaqueConstruction.</t>
        </is>
      </c>
      <c r="H12" s="2" t="inlineStr">
        <is>
          <t>Should the 23 B09 curtain-wall panels use the VT 0.58 construction (as in the TBIM) instead of the HB default?</t>
        </is>
      </c>
      <c r="I12" s="2" t="inlineStr">
        <is>
          <t>Author: in Table 9 only, the 23 B09 curtain-wall panels are reported with their BIM glazing (U 0.9, SHGC 0.67, VT 0.58); the IDF still uses HB Generic Double Pane.</t>
        </is>
      </c>
    </row>
    <row r="13" ht="23.25" customHeight="1">
      <c r="A13" s="2" t="inlineStr">
        <is>
          <t>I12</t>
        </is>
      </c>
      <c r="B13" s="18" t="inlineStr">
        <is>
          <t>Low</t>
        </is>
      </c>
      <c r="C13" s="2" t="inlineStr">
        <is>
          <t>Roof construction</t>
        </is>
      </c>
      <c r="D13" s="2" t="inlineStr">
        <is>
          <t>–</t>
        </is>
      </c>
      <c r="E13" s="2" t="inlineStr">
        <is>
          <t>IfcRoofType carries no material layers; RF_POLIMI-LC_IH-E is typed in the notebook and also used for faces typed RF_POLIMI-LC_INH-E (B09).</t>
        </is>
      </c>
      <c r="F13" s="2" t="inlineStr">
        <is>
          <t>Map_Envelope E14</t>
        </is>
      </c>
      <c r="G13" s="2" t="inlineStr">
        <is>
          <t>State this in the text.</t>
        </is>
      </c>
      <c r="H13" s="2" t="n"/>
      <c r="I13" s="2" t="n"/>
    </row>
    <row r="14" ht="23.25" customHeight="1">
      <c r="A14" s="2" t="inlineStr">
        <is>
          <t>I13</t>
        </is>
      </c>
      <c r="B14" s="18" t="inlineStr">
        <is>
          <t>Low</t>
        </is>
      </c>
      <c r="C14" s="2" t="inlineStr">
        <is>
          <t>HB defaults with US conventions</t>
        </is>
      </c>
      <c r="D14" s="2" t="inlineStr">
        <is>
          <t>–</t>
        </is>
      </c>
      <c r="E14" s="2" t="inlineStr">
        <is>
          <t>Holidays 1/1 and 4/7, DST 12/3–5/11, office program (SHW 0.1 L/h·m², seated activity) come from HB defaults.</t>
        </is>
      </c>
      <c r="F14" s="2" t="inlineStr">
        <is>
          <t>Map_Model M06, M10, M16</t>
        </is>
      </c>
      <c r="G14" s="2" t="inlineStr">
        <is>
          <t>Set Italian holidays/DST or mention.</t>
        </is>
      </c>
      <c r="H14" s="2" t="n"/>
      <c r="I14" s="2" t="n"/>
    </row>
    <row r="15" ht="34.9" customHeight="1">
      <c r="A15" s="2" t="inlineStr">
        <is>
          <t>I14</t>
        </is>
      </c>
      <c r="B15" s="18" t="inlineStr">
        <is>
          <t>Low</t>
        </is>
      </c>
      <c r="C15" s="2" t="inlineStr">
        <is>
          <t>Timestep / run period</t>
        </is>
      </c>
      <c r="D15" s="2" t="inlineStr">
        <is>
          <t>–</t>
        </is>
      </c>
      <c r="E15" s="2" t="inlineStr">
        <is>
          <t>Baseline IDF timestep 6 (the nb line meant to set 4 is ineffective); calibrated IDF 4. Run period forced to 1/1–31/12/2024 at run time, while the paper's monitoring period is 1/2/2024–31/1/2025.</t>
        </is>
      </c>
      <c r="F15" s="2" t="inlineStr">
        <is>
          <t>Map_Model M14–M15</t>
        </is>
      </c>
      <c r="G15" s="2" t="inlineStr">
        <is>
          <t>Report the run period used for calibration.</t>
        </is>
      </c>
      <c r="H15" s="2" t="inlineStr">
        <is>
          <t>Which EPW was used for calibration: Lecco_IT-hour.epw (in repo) or the on-site station file described in the paper?</t>
        </is>
      </c>
      <c r="I15" s="2" t="n"/>
    </row>
    <row r="16" ht="23.25" customHeight="1">
      <c r="A16" s="2" t="inlineStr">
        <is>
          <t>I15</t>
        </is>
      </c>
      <c r="B16" s="18" t="inlineStr">
        <is>
          <t>Low</t>
        </is>
      </c>
      <c r="C16" s="2" t="inlineStr">
        <is>
          <t>Exposed interior partitions</t>
        </is>
      </c>
      <c r="D16" s="2" t="inlineStr">
        <is>
          <t>–</t>
        </is>
      </c>
      <c r="E16" s="2" t="inlineStr">
        <is>
          <t>Cells excluded from the BEM (notUsefullCellUIDs) leave their neighbours' partitions as 'Outdoors' surfaces (e.g. B09: 135 IW03, 21 IW06 faces).</t>
        </is>
      </c>
      <c r="F16" s="2" t="inlineStr">
        <is>
          <t>Val_Constructions (Outdoors column)</t>
        </is>
      </c>
      <c r="G16" s="2" t="inlineStr">
        <is>
          <t>Mention as a modelling simplification or set them adiabatic.</t>
        </is>
      </c>
      <c r="H16" s="2" t="n"/>
      <c r="I16" s="2" t="n"/>
    </row>
    <row r="17" ht="23.25" customHeight="1">
      <c r="A17" s="2" t="inlineStr">
        <is>
          <t>I16</t>
        </is>
      </c>
      <c r="B17" s="18" t="inlineStr">
        <is>
          <t>Low</t>
        </is>
      </c>
      <c r="C17" s="2" t="inlineStr">
        <is>
          <t>Air cavities</t>
        </is>
      </c>
      <c r="D17" s="2" t="inlineStr">
        <is>
          <t>–</t>
        </is>
      </c>
      <c r="E17" s="2" t="inlineStr">
        <is>
          <t>Ventilated/unventilated cavities are written as massive Material layers (λ 0.285–1.0 W/m·K, ρ 1 kg/m³) instead of Material:AirGap or outer-layer removal.</t>
        </is>
      </c>
      <c r="F17" s="2" t="inlineStr">
        <is>
          <t>Val_Layers</t>
        </is>
      </c>
      <c r="G17" s="2" t="inlineStr">
        <is>
          <t>Mention or switch to Material:AirGap.</t>
        </is>
      </c>
      <c r="H17" s="2" t="n"/>
      <c r="I17" s="2" t="n"/>
    </row>
    <row r="18" ht="34.9" customHeight="1">
      <c r="A18" s="2" t="inlineStr">
        <is>
          <t>I17</t>
        </is>
      </c>
      <c r="B18" s="18" t="inlineStr">
        <is>
          <t>Low</t>
        </is>
      </c>
      <c r="C18" s="2" t="inlineStr">
        <is>
          <t>B09 zoned TBIM</t>
        </is>
      </c>
      <c r="D18" s="2" t="inlineStr">
        <is>
          <t>–</t>
        </is>
      </c>
      <c r="E18" s="2" t="inlineStr">
        <is>
          <t>DigitMan_Model_POLIMI-Edificio09_Topologic-withZones.json does not match the B09 IDF zones (IDF has zone12-0/1/2, zone50, debugZone0–11 not present in the JSON), so a cell → zone table cannot be rebuilt reliably for B09.</t>
        </is>
      </c>
      <c r="F18" s="2" t="inlineStr">
        <is>
          <t>models/</t>
        </is>
      </c>
      <c r="G18" s="2" t="inlineStr">
        <is>
          <t>Re-export the zoned TBIM from the run that produced the IDF.</t>
        </is>
      </c>
      <c r="H18" s="2" t="inlineStr">
        <is>
          <t>Do you want a cell → zone membership table added (B10 only, or after re-running B09)?</t>
        </is>
      </c>
      <c r="I18" s="2" t="inlineStr">
        <is>
          <t>Author: use E+ zones as reference → T7_Zones is indexed by E+ Zone name; no cell → zone table.</t>
        </is>
      </c>
    </row>
    <row r="19" ht="46.5" customHeight="1">
      <c r="A19" s="2" t="inlineStr">
        <is>
          <t>I18</t>
        </is>
      </c>
      <c r="B19" s="17" t="inlineStr">
        <is>
          <t>Medium</t>
        </is>
      </c>
      <c r="C19" s="2" t="inlineStr">
        <is>
          <t>Fallback constructions</t>
        </is>
      </c>
      <c r="D19" s="2" t="inlineStr">
        <is>
          <t>–</t>
        </is>
      </c>
      <c r="E19" s="2" t="inlineStr">
        <is>
          <t>Faces whose type has no thermal layers (WL_VirtualWall, the opaque ≈19 % of curtain-wall faces, FL_VirtualFloor) keep HB defaults; 'Generic Exterior Wall' is then replaced by WL_POLIMI-LC_EW02 (B09: 156 surfaces vs 9 IFC walls of that type) and 'Generic Interior Wall/Floor' stay as HB generic layers (B09: 94 + 360 surfaces).</t>
        </is>
      </c>
      <c r="F19" s="2" t="inlineStr">
        <is>
          <t>Val_Constructions (columns E vs L)</t>
        </is>
      </c>
      <c r="G19" s="2" t="inlineStr">
        <is>
          <t>Mention in the text; consider an explicit construction for virtual and curtain-wall spandrel faces.</t>
        </is>
      </c>
      <c r="H19" s="2" t="n"/>
      <c r="I19" s="2" t="n"/>
    </row>
    <row r="20" ht="46.5" customHeight="1">
      <c r="A20" s="2" t="inlineStr">
        <is>
          <t>I19</t>
        </is>
      </c>
      <c r="B20" s="16" t="inlineStr">
        <is>
          <t>High</t>
        </is>
      </c>
      <c r="C20" s="2" t="inlineStr">
        <is>
          <t>Outdoor air vs AHU capacity</t>
        </is>
      </c>
      <c r="D20" s="2" t="inlineStr">
        <is>
          <t>Methods: 10 L/s·p + 0.6 L/s·m², bounded by AHU capacity 7 200 m³/h (B09) and 11 000 m³/h (B10).</t>
        </is>
      </c>
      <c r="E20" s="2" t="inlineStr">
        <is>
          <t>With the E+ zone areas and People densities of the calibrated IDFs, design outdoor air (sum of per-person and per-area terms, all ventilated zones at full occupancy) is ≈ 94 500 m³/h for B09 (≈ 13 × AHU capacity) and ≈ 46 100 m³/h for B10 (≈ 4 ×). The AHU cap therefore governs at peak, giving ≈ 0.8 (B09) and ≈ 2.4 (B10) L/s·person effective.</t>
        </is>
      </c>
      <c r="F20" s="2" t="inlineStr">
        <is>
          <t>Ref_Assumptions C12:C15 (live); T7_Zones column U</t>
        </is>
      </c>
      <c r="G20" s="2" t="inlineStr">
        <is>
          <t>State that the cap binds at peak occupancy, or report the real occupancy / diversity used.</t>
        </is>
      </c>
      <c r="H20" s="2" t="inlineStr">
        <is>
          <t>Is the AHU capacity applied to the sum of all zones (one AHU per building) and are design densities (0.6 pp/m² in lecture halls) the intended peak?</t>
        </is>
      </c>
      <c r="I20" s="2" t="inlineStr">
        <is>
          <t>Author: keep the values already reported in the paper (no change). AHU check kept in Ref_Assumptions C12:C15 for information.</t>
        </is>
      </c>
    </row>
    <row r="21" ht="34.9" customHeight="1">
      <c r="A21" s="2" t="inlineStr">
        <is>
          <t>I20</t>
        </is>
      </c>
      <c r="B21" s="17" t="inlineStr">
        <is>
          <t>Medium</t>
        </is>
      </c>
      <c r="C21" s="2" t="inlineStr">
        <is>
          <t>Calibrated setpoints</t>
        </is>
      </c>
      <c r="D21" s="2" t="inlineStr">
        <is>
          <t>–</t>
        </is>
      </c>
      <c r="E21" s="2" t="inlineStr">
        <is>
          <t>Calibrated IDFs: heating and cooling availability always on; B09 heating 18 °C (07–18 h) / 15 °C, cooling 20 °C all day; B10 heating 22 °C (07–18 h) / 18 °C, cooling 22 °C all day → zero dead-band in occupied hours, so ideal loads may heat and cool in the same day.</t>
        </is>
      </c>
      <c r="F21" s="2" t="inlineStr">
        <is>
          <t>T7_Zones columns L–N; Val_Schedules</t>
        </is>
      </c>
      <c r="G21" s="2" t="inlineStr">
        <is>
          <t>Confirm these are the intended calibrated setpoints before publishing them in Table 7.</t>
        </is>
      </c>
      <c r="H21" s="2" t="inlineStr">
        <is>
          <t>Are the calibrated cooling setpoints (20 °C B09, 22 °C B10) intentional?</t>
        </is>
      </c>
      <c r="I21" s="2" t="inlineStr">
        <is>
          <t>Author: Table 7 reports the setpoints cited in the paper; the calibrated IDF values are not reported in the Appendix.</t>
        </is>
      </c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2026-10-16T07:11:48Z</dcterms:created>
  <dcterms:modified xmlns:dcterms="http://purl.org/dc/terms/" xmlns:xsi="http://www.w3.org/2001/XMLSchema-instance" xsi:type="dcterms:W3CDTF">2026-10-20T13:32:14Z</dcterms:modified>
  <cp:lastModifiedBy>Angelo Massafra</cp:lastModifiedBy>
</cp:coreProperties>
</file>